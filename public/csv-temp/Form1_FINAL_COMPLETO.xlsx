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_tiago.oliveira\Downloads\"/>
    </mc:Choice>
  </mc:AlternateContent>
  <xr:revisionPtr revIDLastSave="0" documentId="8_{0802CEB9-50F7-42FC-A74C-8EB4C83773F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3" i="1" l="1"/>
  <c r="AI43" i="1"/>
  <c r="AH43" i="1"/>
  <c r="AJ42" i="1"/>
  <c r="AI42" i="1"/>
  <c r="AH42" i="1"/>
  <c r="AJ41" i="1"/>
  <c r="AI41" i="1"/>
  <c r="AH41" i="1"/>
  <c r="AJ40" i="1"/>
  <c r="AI40" i="1"/>
  <c r="AH40" i="1"/>
  <c r="AJ39" i="1"/>
  <c r="AI39" i="1"/>
  <c r="AH39" i="1"/>
  <c r="AJ38" i="1"/>
  <c r="AI38" i="1"/>
  <c r="AH38" i="1"/>
  <c r="AJ37" i="1"/>
  <c r="AI37" i="1"/>
  <c r="AH37" i="1"/>
  <c r="AJ36" i="1"/>
  <c r="AI36" i="1"/>
  <c r="AH36" i="1"/>
  <c r="AJ35" i="1"/>
  <c r="AI35" i="1"/>
  <c r="AH35" i="1"/>
  <c r="AJ34" i="1"/>
  <c r="AI34" i="1"/>
  <c r="AH34" i="1"/>
  <c r="AJ33" i="1"/>
  <c r="AI33" i="1"/>
  <c r="AH33" i="1"/>
  <c r="AJ32" i="1"/>
  <c r="AI32" i="1"/>
  <c r="AH32" i="1"/>
  <c r="AJ31" i="1"/>
  <c r="AI31" i="1"/>
  <c r="AH31" i="1"/>
  <c r="AJ30" i="1"/>
  <c r="AI30" i="1"/>
  <c r="AH30" i="1"/>
  <c r="AJ29" i="1"/>
  <c r="AI29" i="1"/>
  <c r="AH29" i="1"/>
  <c r="AJ28" i="1"/>
  <c r="AI28" i="1"/>
  <c r="AH28" i="1"/>
  <c r="AJ27" i="1"/>
  <c r="AI27" i="1"/>
  <c r="AH27" i="1"/>
  <c r="AJ26" i="1"/>
  <c r="AI26" i="1"/>
  <c r="AH26" i="1"/>
  <c r="AJ25" i="1"/>
  <c r="AI25" i="1"/>
  <c r="AH25" i="1"/>
  <c r="AJ24" i="1"/>
  <c r="AI24" i="1"/>
  <c r="AH24" i="1"/>
  <c r="AJ23" i="1"/>
  <c r="AI23" i="1"/>
  <c r="AH23" i="1"/>
  <c r="AJ22" i="1"/>
  <c r="AI22" i="1"/>
  <c r="AH22" i="1"/>
  <c r="AJ21" i="1"/>
  <c r="AI21" i="1"/>
  <c r="AH21" i="1"/>
  <c r="AJ20" i="1"/>
  <c r="AI20" i="1"/>
  <c r="AH20" i="1"/>
  <c r="AJ19" i="1"/>
  <c r="AI19" i="1"/>
  <c r="AH19" i="1"/>
  <c r="AJ18" i="1"/>
  <c r="AI18" i="1"/>
  <c r="AH18" i="1"/>
  <c r="AJ17" i="1"/>
  <c r="AI17" i="1"/>
  <c r="AH17" i="1"/>
  <c r="AJ16" i="1"/>
  <c r="AI16" i="1"/>
  <c r="AH16" i="1"/>
  <c r="AJ15" i="1"/>
  <c r="AI15" i="1"/>
  <c r="AH15" i="1"/>
  <c r="AJ14" i="1"/>
  <c r="AI14" i="1"/>
  <c r="AH14" i="1"/>
  <c r="AJ13" i="1"/>
  <c r="AI13" i="1"/>
  <c r="AH13" i="1"/>
  <c r="AI12" i="1"/>
  <c r="AH12" i="1"/>
  <c r="AJ11" i="1"/>
  <c r="AI11" i="1"/>
  <c r="AH11" i="1"/>
  <c r="AJ10" i="1"/>
  <c r="AI10" i="1"/>
  <c r="AH10" i="1"/>
  <c r="AJ9" i="1"/>
  <c r="AI9" i="1"/>
  <c r="AH9" i="1"/>
  <c r="AJ8" i="1"/>
  <c r="AI8" i="1"/>
  <c r="AH8" i="1"/>
  <c r="AJ7" i="1"/>
  <c r="AI7" i="1"/>
  <c r="AH7" i="1"/>
  <c r="AJ6" i="1"/>
  <c r="AI6" i="1"/>
  <c r="AH6" i="1"/>
  <c r="AJ5" i="1"/>
  <c r="AI5" i="1"/>
  <c r="AH5" i="1"/>
  <c r="AJ4" i="1"/>
  <c r="AI4" i="1"/>
  <c r="AH4" i="1"/>
  <c r="AJ3" i="1"/>
  <c r="AI3" i="1"/>
  <c r="AH3" i="1"/>
  <c r="AJ2" i="1"/>
  <c r="AI2" i="1"/>
  <c r="AH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<sst xmlns="http://schemas.openxmlformats.org/spreadsheetml/2006/main" count="1150" uniqueCount="512">
  <si>
    <t>ID</t>
  </si>
  <si>
    <t>Hora de início</t>
  </si>
  <si>
    <t>Hora da conclusão</t>
  </si>
  <si>
    <t>Email</t>
  </si>
  <si>
    <t>Nome</t>
  </si>
  <si>
    <t>Nome completo da paciente</t>
  </si>
  <si>
    <t>Data de nascimento da gestante </t>
  </si>
  <si>
    <t>CARTEIRINHA (tem na guia que sai do sistema - não inserir CPF)</t>
  </si>
  <si>
    <t>Número de Gestações</t>
  </si>
  <si>
    <t>Número de Partos Cesáreas</t>
  </si>
  <si>
    <t>Número de Partos Normais</t>
  </si>
  <si>
    <t>Número de Abortos</t>
  </si>
  <si>
    <t>Informe dois telefones de contato com o paciente para que ele seja contato pelo hospital</t>
  </si>
  <si>
    <t>Informe o procedimento(s) que será(ão) realizado(s)</t>
  </si>
  <si>
    <t>DUM </t>
  </si>
  <si>
    <t>Data da DUM</t>
  </si>
  <si>
    <t>Data do Primeiro USG</t>
  </si>
  <si>
    <t>Numero de semanas no primeiro USG (inserir apenas o numero) - considerar o exame entre 8 e 12 semanas, embrião com BCF</t>
  </si>
  <si>
    <t>Numero de dias no primeiro USG (inserir apenas o numero)- considerar o exame entre 8 e 12 semanas, embrião com BCF</t>
  </si>
  <si>
    <t>USG mais recente (Inserir data, apresentação, PFE com percentil, ILA/MBV e doppler)</t>
  </si>
  <si>
    <t>Coluna3</t>
  </si>
  <si>
    <t>Informe a indicação do procedimento</t>
  </si>
  <si>
    <t>Indique qual medicação e dosagem que a paciente utiliza.</t>
  </si>
  <si>
    <t>Indique os Diagnósticos Obstétricos Maternos ATUAIS ( ex. DMG com/sem insulina, Pre-eclampsia, Hipertensão gestacional, TPP na gestação atual, RPMO na gestação atual, hipotireoidismo gestacional, etc)</t>
  </si>
  <si>
    <t>Placenta previa centro total com acretismo confirmado ou suspeito</t>
  </si>
  <si>
    <t>Indique os Diagnósticos Fetais (ex: RCF, Oligo/Polidramnio, Macrossomia, malformação fetal - especificar, cardiopatia fetal - especificar, etc)</t>
  </si>
  <si>
    <t>Informe História Obstétrica Prévia Relevante e Diagnósticos clínicos cirúrgicos (ex. Aborto tardio, parto prematuro,  óbito fetal, DMG, macrossomia, eclampsia, pré eclampsia precoce, cardiopatia - esp</t>
  </si>
  <si>
    <t>Necessidade de reserva de UTI materna</t>
  </si>
  <si>
    <t>Necessidade de reserva de Sangue</t>
  </si>
  <si>
    <t>Maternidade que a paciente deseja</t>
  </si>
  <si>
    <t>Médico responsável pelo agendamento </t>
  </si>
  <si>
    <t>E-mail da paciente</t>
  </si>
  <si>
    <t>DPP DUM</t>
  </si>
  <si>
    <t>DPP USG</t>
  </si>
  <si>
    <t>Idade</t>
  </si>
  <si>
    <t>IG IDEAL</t>
  </si>
  <si>
    <t>Data Agendada2</t>
  </si>
  <si>
    <t>IG na data</t>
  </si>
  <si>
    <t>Intervalo (dias)</t>
  </si>
  <si>
    <t>Observações</t>
  </si>
  <si>
    <t>Coluna26</t>
  </si>
  <si>
    <t>anonymous</t>
  </si>
  <si>
    <t>JACQUELINE DE OLIVEIRA DIAS</t>
  </si>
  <si>
    <t xml:space="preserve"> 0P377000901008</t>
  </si>
  <si>
    <t>4</t>
  </si>
  <si>
    <t>1</t>
  </si>
  <si>
    <t>11 98666-7974</t>
  </si>
  <si>
    <t>Cesárea + Laqueadura</t>
  </si>
  <si>
    <t xml:space="preserve">Sim - Confiavel </t>
  </si>
  <si>
    <t>9</t>
  </si>
  <si>
    <t>6</t>
  </si>
  <si>
    <t>US 13/11 - CEF / 2564G (PP97) / MBV 7CM / FETO GIG / DOPPLER NORMAL / PBF 8/8.</t>
  </si>
  <si>
    <t>DM2 COM USO DE INSULINA EM ALTAS DOSES E REPRCUSSAO FETAL - FETO GIG</t>
  </si>
  <si>
    <t>INSULINA NPH 22/24/26, REGULAR 10/10/10</t>
  </si>
  <si>
    <t>DM2, DEPRESSAO, TRANSTORNO BIPOLAR</t>
  </si>
  <si>
    <t>Não</t>
  </si>
  <si>
    <t>FETO GIG</t>
  </si>
  <si>
    <t>--</t>
  </si>
  <si>
    <t>Cruzeiro</t>
  </si>
  <si>
    <t>Wilson Loike</t>
  </si>
  <si>
    <t>jdconsultoria.rh@gmail.com</t>
  </si>
  <si>
    <t>38s</t>
  </si>
  <si>
    <t>38s0d</t>
  </si>
  <si>
    <t>Maternidade Cruzeiro. IG ideal baseada em DM2 COM USO DE INSULINA EM ALTAS DOSES E REPRCUSSAO FETAL - FETO GIG.</t>
  </si>
  <si>
    <t>FRANCISCA MARIA PEREIRA DOS SANTOS</t>
  </si>
  <si>
    <t>0m0nw000656003</t>
  </si>
  <si>
    <t>3</t>
  </si>
  <si>
    <t>0</t>
  </si>
  <si>
    <t>1111953549071     11967636232</t>
  </si>
  <si>
    <t>06/11 CEFALICO PESO 2628 %76,4 MBV 8,1 DOPPLER MATERNO FETAL OK</t>
  </si>
  <si>
    <t>A PEDIDO DMG DEXTRO UBS</t>
  </si>
  <si>
    <t>VITAMINAS</t>
  </si>
  <si>
    <t>DMG</t>
  </si>
  <si>
    <t xml:space="preserve">NAO </t>
  </si>
  <si>
    <t>SEM PASSADO OBSTETRICO</t>
  </si>
  <si>
    <t>Wagner Perruolo</t>
  </si>
  <si>
    <t>davi1417282009@icloud</t>
  </si>
  <si>
    <t>Encaminho wpp. Enfª Ana</t>
  </si>
  <si>
    <t>agendada 10/12 39s pedir dx</t>
  </si>
  <si>
    <t>Paciente não faz controle</t>
  </si>
  <si>
    <t>Data mantida</t>
  </si>
  <si>
    <t>Dara Fernanda Ferreira de Souza</t>
  </si>
  <si>
    <t>1Z8AV000001040</t>
  </si>
  <si>
    <t>11 994514747</t>
  </si>
  <si>
    <t>Indução Programada</t>
  </si>
  <si>
    <t>8</t>
  </si>
  <si>
    <t>23/10 - 33;1 semanas, 2290g, ila e doppler normais</t>
  </si>
  <si>
    <t>Dmg (dieta)</t>
  </si>
  <si>
    <t>Nenhuma</t>
  </si>
  <si>
    <t>Nenhum</t>
  </si>
  <si>
    <t>Na</t>
  </si>
  <si>
    <t>Sandra Regina Gonçalves</t>
  </si>
  <si>
    <t>pink81473@gmail.com</t>
  </si>
  <si>
    <t>40s</t>
  </si>
  <si>
    <t>40s0d</t>
  </si>
  <si>
    <t>Maternidade Cruzeiro. IG ideal baseada em Dmg (dieta).</t>
  </si>
  <si>
    <t xml:space="preserve">Dalila Pedro da Silva </t>
  </si>
  <si>
    <t>1ar9LA000042005</t>
  </si>
  <si>
    <t>11 988371894// 11 993487165</t>
  </si>
  <si>
    <t xml:space="preserve">11/11 if 35 sem 5/7 cef peso 3003g p93 mbv4,2 pa(I) Doppler normal </t>
  </si>
  <si>
    <t>DM II em uso insulina e descompensado com feto gog</t>
  </si>
  <si>
    <t>Insulina NPh (36-22-20) , cálcio , AAS , megamather / Lt4 50 mcg</t>
  </si>
  <si>
    <t xml:space="preserve">DM Ii em uso de insulina , descompensado /// indução agendada para Jundiaí , mas paciente deseja realizar em osasco </t>
  </si>
  <si>
    <t>Feto GIG</t>
  </si>
  <si>
    <t xml:space="preserve">Primigesta </t>
  </si>
  <si>
    <t>Bruna Mariano</t>
  </si>
  <si>
    <t>dalilapedro96@gmail.com</t>
  </si>
  <si>
    <t>Controle no grupo Wpp</t>
  </si>
  <si>
    <t>Controle pessimo,passar p/ grupo de DM p/ ajustar dose dee insulina, data mantida</t>
  </si>
  <si>
    <t xml:space="preserve">Adriana Alves Barbosa </t>
  </si>
  <si>
    <t>0Z0JQ000335002</t>
  </si>
  <si>
    <t>2</t>
  </si>
  <si>
    <t>1197989-1929 / 1195331-8371</t>
  </si>
  <si>
    <t>4/11: cef, bcf+, plac post 2, ila 21 cm , 2720 (p94) Doppler normal. 34+1</t>
  </si>
  <si>
    <t>Dmg + p&gt;90</t>
  </si>
  <si>
    <t xml:space="preserve">Nega </t>
  </si>
  <si>
    <t xml:space="preserve">Dmg </t>
  </si>
  <si>
    <t xml:space="preserve">Acima </t>
  </si>
  <si>
    <t>NotreCare</t>
  </si>
  <si>
    <t>Gabriela de Miranda Cuba Nogueira</t>
  </si>
  <si>
    <t>adrianabarbosa1908@gmail.com</t>
  </si>
  <si>
    <t xml:space="preserve">Controle no wpp - paciente informa não ter guia </t>
  </si>
  <si>
    <t>mandou em qual grupo? nao achei</t>
  </si>
  <si>
    <t xml:space="preserve">Grupo de Agendamenro de parto </t>
  </si>
  <si>
    <t>data mantida; favor providenciar guia p/ a pct</t>
  </si>
  <si>
    <t>MILENE CARDOSO DE SOUZA</t>
  </si>
  <si>
    <t>1UXPX005504007</t>
  </si>
  <si>
    <t>11976123787     11959642533</t>
  </si>
  <si>
    <t>Incerta</t>
  </si>
  <si>
    <t>5</t>
  </si>
  <si>
    <t>17/09 29 SEMANAS 3 DIAS DOPPLER NORMAL</t>
  </si>
  <si>
    <t>ITERATIVIDADE</t>
  </si>
  <si>
    <t>PPU E SERTRALINA 50</t>
  </si>
  <si>
    <t>HIPERTIREOIDISMO E ANSIEDADE</t>
  </si>
  <si>
    <t>NORMAL</t>
  </si>
  <si>
    <t>HIPERTIREOIDISMO</t>
  </si>
  <si>
    <t>Renata Daura Lanzone</t>
  </si>
  <si>
    <t>SOUZACARDOSO90@GMAIL.COM</t>
  </si>
  <si>
    <t>exs no grupo Wpp</t>
  </si>
  <si>
    <t>não consigo acessar, VPN nao funciona e estes exames nao estao no hapmed &gt; manter data e tentar conseguir os exs com a ocs</t>
  </si>
  <si>
    <t>VANEIA FRANCISCA DA CRUZ</t>
  </si>
  <si>
    <t>OMOEG000046000</t>
  </si>
  <si>
    <t>11957452738   11959342872</t>
  </si>
  <si>
    <t>Cesárea</t>
  </si>
  <si>
    <t xml:space="preserve"> 11/11   35 5/7 PELVICO PESO2486%23MBV 6.3 DI=OPPLER NL</t>
  </si>
  <si>
    <t>PEIVICO</t>
  </si>
  <si>
    <t>METILDOPA 1250</t>
  </si>
  <si>
    <t>H ARTERIAL</t>
  </si>
  <si>
    <t>NAO</t>
  </si>
  <si>
    <t>VANEIAFCRUZ@GMAIL.COM</t>
  </si>
  <si>
    <t xml:space="preserve">agendada 04/12 39s - é HAC mesmo? controle pa? </t>
  </si>
  <si>
    <t>VITORIA MARIANO VITOR</t>
  </si>
  <si>
    <t>0nh5k000062006</t>
  </si>
  <si>
    <t>11 939428816    11947137055</t>
  </si>
  <si>
    <t>06/11/25  CEFALICO PESO2585 %42MBV4.8 DOPPLER OK</t>
  </si>
  <si>
    <t>A PEDIDO</t>
  </si>
  <si>
    <t>METILDOPA 750MG DIA</t>
  </si>
  <si>
    <t>NADA</t>
  </si>
  <si>
    <t>vitoriamariano675@g mail.com</t>
  </si>
  <si>
    <t>Corrigido. Enfª Ana</t>
  </si>
  <si>
    <t>agendada 03/12 39s é hac mesmo? controle pa?</t>
  </si>
  <si>
    <t>MONICA SOUZA SANTOS</t>
  </si>
  <si>
    <t>0NH860000300007</t>
  </si>
  <si>
    <t>011 9 8989 2113</t>
  </si>
  <si>
    <t>13</t>
  </si>
  <si>
    <t>10/11  FUV CEF  PESO 2410  DDPL NL  35S3D</t>
  </si>
  <si>
    <t>DHEG</t>
  </si>
  <si>
    <t xml:space="preserve">METILS DOPA 2,0 G </t>
  </si>
  <si>
    <t>DNDN</t>
  </si>
  <si>
    <t>NDN</t>
  </si>
  <si>
    <t>HAS</t>
  </si>
  <si>
    <t>Lauro Massayuki Nakano</t>
  </si>
  <si>
    <t>SOUZAMONIKI60@GMAIL.COM</t>
  </si>
  <si>
    <t>37s</t>
  </si>
  <si>
    <t>37s0d</t>
  </si>
  <si>
    <t>Maternidade NotreCare. IG ideal baseada em DHEG.</t>
  </si>
  <si>
    <t>LUCIANA ALVES ZANONI</t>
  </si>
  <si>
    <t xml:space="preserve"> 0N0XH000001007</t>
  </si>
  <si>
    <t>967679989</t>
  </si>
  <si>
    <t xml:space="preserve">10/11/25 - 34SEM 4 DIAS 2260G P91 - MBV 6,9 - DOPPLER NL </t>
  </si>
  <si>
    <t>DMG + FETO GIG</t>
  </si>
  <si>
    <t xml:space="preserve">DMG + GIG </t>
  </si>
  <si>
    <t>1 ABORTO ANTERIOR</t>
  </si>
  <si>
    <t>Juliana Fazio</t>
  </si>
  <si>
    <t>luciana@lzin.com.br</t>
  </si>
  <si>
    <t>Maternidade NotreCare. IG ideal baseada em DMG + FETO GIG.</t>
  </si>
  <si>
    <t>GIOVANNA YASMIM DE PAULA SILVA</t>
  </si>
  <si>
    <t>25/10/1999</t>
  </si>
  <si>
    <t>0SZRJ000001007</t>
  </si>
  <si>
    <t>23/03/2025</t>
  </si>
  <si>
    <t>07/11 2500g p98 MB 6 cef</t>
  </si>
  <si>
    <t>Obesidade 41,3 DMG em uso de insulina</t>
  </si>
  <si>
    <t>39s</t>
  </si>
  <si>
    <t>39s0d</t>
  </si>
  <si>
    <t>Maternidade NotreCare. IG ideal baseada em .</t>
  </si>
  <si>
    <t xml:space="preserve">Adriana Pinto  Pereira  Galdino </t>
  </si>
  <si>
    <t>1ZEI004112016</t>
  </si>
  <si>
    <t>11937681617/11965628435</t>
  </si>
  <si>
    <t>7</t>
  </si>
  <si>
    <t>7/11 IG 30,1 plac ant I , gemelad MONO/DI dusc 8 % osso 1 1655 perc 50-90  feto 2 peso 1522 perc 50-90 v</t>
  </si>
  <si>
    <t>Gemelaridade mono/di</t>
  </si>
  <si>
    <t>Vitaminas</t>
  </si>
  <si>
    <t>Ndn</t>
  </si>
  <si>
    <t>Salvalus</t>
  </si>
  <si>
    <t>Marisa Helena</t>
  </si>
  <si>
    <t>Adriana.pp@outlook.com</t>
  </si>
  <si>
    <t>36s</t>
  </si>
  <si>
    <t>36s0d</t>
  </si>
  <si>
    <t>Maternidade Salvalus. IG ideal baseada em Gemelaridade mono/di.</t>
  </si>
  <si>
    <t xml:space="preserve">Raionia Maciel de Souza </t>
  </si>
  <si>
    <t>0LL24006467024</t>
  </si>
  <si>
    <t>948551598/990116547</t>
  </si>
  <si>
    <t>04/11 IG 34 peso 2064 perc 16 LA nl doppler nl plac pist I</t>
  </si>
  <si>
    <t>Desejo materno. E feto perc 26</t>
  </si>
  <si>
    <t>Vitaminad</t>
  </si>
  <si>
    <t>Perc 16</t>
  </si>
  <si>
    <t>Raioniasouza45@gmail.com</t>
  </si>
  <si>
    <t>AVALIAÇÃO CLÍNICA - Histórico e Queixas Atuais: IG 35 6/7 antes tinha placenta prévia, agora está normal.</t>
  </si>
  <si>
    <t>mantido</t>
  </si>
  <si>
    <t>GIOVANNA VILAS BOAS BORELLI</t>
  </si>
  <si>
    <t>WP0M7000031003</t>
  </si>
  <si>
    <t>11 91111-2676</t>
  </si>
  <si>
    <t>07/11/2025 - 32S2D / CEF / 2764G (P97) / MBV 5,5 / DOPPLER NORMAL / FETO GIG</t>
  </si>
  <si>
    <t>DMG COM REPERUSSÃO FETAL (FETO GIG) / ALÉM DE MULTIPLAS COMORBIDADES</t>
  </si>
  <si>
    <t>METILDOPA 500MG 8/8H / PURAN 75 MCG/DIA / REGENESIS PREMIUM / CALCIO</t>
  </si>
  <si>
    <t>OBESIDADE G4 / ITERATIVIDADE / DMG / HAC ** sem uso de insulina por controle glicemico 100% normal</t>
  </si>
  <si>
    <t>-</t>
  </si>
  <si>
    <t>giovana.vb@yahoo.com</t>
  </si>
  <si>
    <t>Maternidade Salvalus. IG ideal baseada em DMG COM REPERUSSÃO FETAL (FETO GIG) / ALÉM DE MULTIPLAS COMORBIDADES.</t>
  </si>
  <si>
    <t>Helen Cristina dos Santos Calixto</t>
  </si>
  <si>
    <t>0M6FH000007005</t>
  </si>
  <si>
    <t>11 982318586</t>
  </si>
  <si>
    <t>10/11 - 34;5 semanas, 2621g, ila e doppler normais</t>
  </si>
  <si>
    <t xml:space="preserve">Desejo materno de pc, hac em uso de dois anti-hipertensivos, dmg (dieta), hipotiroidismo </t>
  </si>
  <si>
    <t>Levotiroxina 50mcg, metildopa 2g, anlodipino 10mg</t>
  </si>
  <si>
    <t>Dmg (dieta), hac (mtd, anlodipino), hipotiroidismo (lt4)</t>
  </si>
  <si>
    <t>helencris.enfermeira@gmail.com</t>
  </si>
  <si>
    <t>Maternidade Salvalus. IG ideal baseada em Desejo materno de pc, hac em uso de dois anti-hipertensivos, dmg (dieta), hipotiroidismo .</t>
  </si>
  <si>
    <t xml:space="preserve">Rhaissa Soares Lopes </t>
  </si>
  <si>
    <t>0WRZX044943016</t>
  </si>
  <si>
    <t>(11)983704819; (11)952682720</t>
  </si>
  <si>
    <t>18</t>
  </si>
  <si>
    <t xml:space="preserve">14/11/2025 - USG Obstetrico: IG 35 1/7 s, FUV , cefálico , peso estimado 2905 (P97) , PFGII, LÁ normal </t>
  </si>
  <si>
    <t xml:space="preserve">Desejo Materno </t>
  </si>
  <si>
    <t xml:space="preserve">Dieta </t>
  </si>
  <si>
    <t xml:space="preserve">DMG sem insulina </t>
  </si>
  <si>
    <t xml:space="preserve">Macrossomia fetal </t>
  </si>
  <si>
    <t xml:space="preserve">DMG macrossomia </t>
  </si>
  <si>
    <t>Luis Houra</t>
  </si>
  <si>
    <t>rayssasoares20142014@gmail.com</t>
  </si>
  <si>
    <t>Maternidade Salvalus. IG ideal baseada em Desejo Materno .</t>
  </si>
  <si>
    <t xml:space="preserve">Thaina Santos Amorim de Carvalho </t>
  </si>
  <si>
    <t>A3ncj00132007</t>
  </si>
  <si>
    <t>961315707 / 932005704</t>
  </si>
  <si>
    <t>14/11/25 fuvlc 34 5/7 2583 (p44) ila 92 e dop nl</t>
  </si>
  <si>
    <t>Desejo</t>
  </si>
  <si>
    <t>Mtd 750/dia sertralina 50mg/dia</t>
  </si>
  <si>
    <t xml:space="preserve">Dmg sem controle </t>
  </si>
  <si>
    <t>Nao</t>
  </si>
  <si>
    <t xml:space="preserve">Hac sd pânico abdominoplastia </t>
  </si>
  <si>
    <t>Paula Iervolino</t>
  </si>
  <si>
    <t>thaina.amorim14@gmail.com</t>
  </si>
  <si>
    <t>Maternidade Salvalus. IG ideal baseada em Desejo.</t>
  </si>
  <si>
    <t>Débora Rosa Bispo</t>
  </si>
  <si>
    <t>1T9W7000001007</t>
  </si>
  <si>
    <t>11 986485505.   11 985184114</t>
  </si>
  <si>
    <t>17.11-fuv, cef, 2772- P39 mbv5,5 Doppler nl perfil 10/10</t>
  </si>
  <si>
    <t>Dmg</t>
  </si>
  <si>
    <t>Angélica do Rosário</t>
  </si>
  <si>
    <t>debora.r.bispo32@gmail.com</t>
  </si>
  <si>
    <t>Maternidade Salvalus. IG ideal baseada em Dmg.</t>
  </si>
  <si>
    <t>AMANDA DE SOUSA DA ROCHA</t>
  </si>
  <si>
    <t>0WRZX043607004</t>
  </si>
  <si>
    <t>11 98494-8803</t>
  </si>
  <si>
    <t>08/11/2025: 33S6D / CEF / 2714G / P85 / ILA NORMAL</t>
  </si>
  <si>
    <t>DESEJO MATERNO</t>
  </si>
  <si>
    <t>METILDOPA 500MG 8/8h //LVT 50 MCG/D // AAS até 36s E CALCIO</t>
  </si>
  <si>
    <t xml:space="preserve"> HAC - FAZIA USO PREVIO DE LOSARTANA + HCT + ATENOLOL / OBESIDADE / DMG / HIPOTIREOIDISMO</t>
  </si>
  <si>
    <t>as1257604@gmail.com</t>
  </si>
  <si>
    <t>39s3d</t>
  </si>
  <si>
    <t>Maternidade Cruzeiro. IG ideal baseada em HAC compensada e DMG sem insulina.</t>
  </si>
  <si>
    <t>Daniele Rodrigues</t>
  </si>
  <si>
    <t>0W7EX001553020</t>
  </si>
  <si>
    <t>11 985365258</t>
  </si>
  <si>
    <t>USG 08/11 34 1/7, peso 2268g, liq nl, plac post G1, chef, Doppler nl</t>
  </si>
  <si>
    <t xml:space="preserve">Desejo materno </t>
  </si>
  <si>
    <t>Levotiroxina 25</t>
  </si>
  <si>
    <t xml:space="preserve">Hipotireoidismo </t>
  </si>
  <si>
    <t>Guarulhos</t>
  </si>
  <si>
    <t>Mariliz de Mello</t>
  </si>
  <si>
    <t>Danyebryan2019@gmail.com</t>
  </si>
  <si>
    <t>39s2d</t>
  </si>
  <si>
    <t>Maternidade Guarulhos. IG ideal baseada em desejo materno e laqueadura.</t>
  </si>
  <si>
    <t>MILLENE SILVA SANTOS</t>
  </si>
  <si>
    <t xml:space="preserve"> 1ZHV5000054011</t>
  </si>
  <si>
    <t>11 941954778  //  11 952484116</t>
  </si>
  <si>
    <t>17/11 - 35 SEM CEF 2570 P47 MBV 7,2 DOPPLER NL PBF 10/10</t>
  </si>
  <si>
    <t>MATERNA / SF</t>
  </si>
  <si>
    <t>Raquel Grecco</t>
  </si>
  <si>
    <t>MILLENESILSANTOS19@GMAIL.COM</t>
  </si>
  <si>
    <t>Maternidade NotreCare. IG ideal baseada em DMG sem insulina.</t>
  </si>
  <si>
    <t xml:space="preserve"> TATIANA DA COSTA SEVERO SILVA</t>
  </si>
  <si>
    <t xml:space="preserve"> 0NWMQ000001015</t>
  </si>
  <si>
    <t>11 97386-9875</t>
  </si>
  <si>
    <t>US 06/11: 33S0D / CEF / 2262g (p64) / mbv 7,1 / pbf 8/8/ doppler normal</t>
  </si>
  <si>
    <t>dmg em uso de insulina</t>
  </si>
  <si>
    <t>nph 0-0-10 / regenesis premium</t>
  </si>
  <si>
    <t>dmg / ima / obesidade</t>
  </si>
  <si>
    <t>cs.tatymarcos@gmail.com</t>
  </si>
  <si>
    <t>38s3d</t>
  </si>
  <si>
    <t>Maternidade Cruzeiro. IG ideal baseada em DMG com insulina.</t>
  </si>
  <si>
    <t>GABRIELA DE ARAUJO JORGE</t>
  </si>
  <si>
    <t>3010V005119006</t>
  </si>
  <si>
    <t>11 99154-9979</t>
  </si>
  <si>
    <t>17/11/2025 - 37S2D / CEF / 3494G (P84) / MBV 6,2 / DOPPLER NORMAL</t>
  </si>
  <si>
    <t>Desejo materno (paciente é acompanhada por dra Sandra - esteve em consulta com ela há 1 dia. Pretendia parto fora da rede. Agendou hoje apenas, pois decidiu por agendamento de parto na rede)</t>
  </si>
  <si>
    <t>Obesidade</t>
  </si>
  <si>
    <t>gabrielaa_jorge@icloud.com</t>
  </si>
  <si>
    <t>Maternidade Guarulhos. IG ideal baseada em desejo materno e obesidade.</t>
  </si>
  <si>
    <t>ALINE CASTANHO DA SILVA</t>
  </si>
  <si>
    <t>0UMWN000001007</t>
  </si>
  <si>
    <t>11969645085    11992109696</t>
  </si>
  <si>
    <t xml:space="preserve">17/11/2025: cefalico, MBV 4,6cm,placenta posterior g2,peso 3131g  p78, doppler normal, IP médio  de Artérias uterinas acima do percentil 95, Persistência em veia umbilical direita </t>
  </si>
  <si>
    <t>desejo materno</t>
  </si>
  <si>
    <t>metildopa 750mg/dia, levotiroxina 25mcg/dia</t>
  </si>
  <si>
    <t>HAC + OBESIDADE + HIPOTIREOIDISMO SUBCLINICO; NATIMORTO EM 2009 22 SEMANAS</t>
  </si>
  <si>
    <t>Thiago Ricci</t>
  </si>
  <si>
    <t>alinecastanho@hotmail.com</t>
  </si>
  <si>
    <t>Maternidade Guarulhos. IG ideal baseada em HAC compensada.</t>
  </si>
  <si>
    <t>Claudia de Araujo Silva</t>
  </si>
  <si>
    <t>0M0YI002036002</t>
  </si>
  <si>
    <t>11 977592187.   11 955588839</t>
  </si>
  <si>
    <t>10</t>
  </si>
  <si>
    <t>27/10 31 4/7 sem 1960 p64 ila nl dopler nl</t>
  </si>
  <si>
    <t>Desejo materno</t>
  </si>
  <si>
    <t>Metildopa 750/d; levotiroxina 50; insulina NPH 6/4/0  Reg 2/2/0</t>
  </si>
  <si>
    <t>HAC + Hipotireoidismo + DMG</t>
  </si>
  <si>
    <t>Pre eclampsia e PC c/ 37 sem</t>
  </si>
  <si>
    <t>Jamir Piquini</t>
  </si>
  <si>
    <t>claudiaaraujosilva96@gmail.com</t>
  </si>
  <si>
    <t>Maternidade NotreCare. IG ideal baseada em DMG com insulina.</t>
  </si>
  <si>
    <t>Dayane Cruz de Souza</t>
  </si>
  <si>
    <t>0X2GT002001004</t>
  </si>
  <si>
    <t>11 989415997.   11 948277435</t>
  </si>
  <si>
    <t>13/11 35 3/7 sem 3281 P95 ila nl dp nl</t>
  </si>
  <si>
    <t>Suplementos + 2 ciclos completos de Benzetacil (casal)</t>
  </si>
  <si>
    <t>Sifilis tratada + macrossomia fetal</t>
  </si>
  <si>
    <t>Macrossomia (p95)</t>
  </si>
  <si>
    <t>daysouza2612@gmail.com</t>
  </si>
  <si>
    <t>Maternidade NotreCare. IG ideal baseada em macrossomia fetal.</t>
  </si>
  <si>
    <t>Claudia de Araújo Silva</t>
  </si>
  <si>
    <t>0MOYI002036002</t>
  </si>
  <si>
    <t>11 977592187.  11 995512386</t>
  </si>
  <si>
    <t>27/10. 31 4/7 sem 1960 p64 ila nl dp nl</t>
  </si>
  <si>
    <t>Levotiroxina; insulina NPH 6/4/0  Reg 2/2/0; metildopa 750/d</t>
  </si>
  <si>
    <t>HAC + Hipotireoidismo + DMG c/ insulina</t>
  </si>
  <si>
    <t>Pre eclampsia na primeira gestação</t>
  </si>
  <si>
    <t>Claudiaaraujosilva96@gmail.com</t>
  </si>
  <si>
    <t>IARA DOS SANTOS LINDOZO</t>
  </si>
  <si>
    <t xml:space="preserve"> 0WZQ5004470001</t>
  </si>
  <si>
    <t>11 967634612  //  11 954061332</t>
  </si>
  <si>
    <t>12/11 - pbf 34 sem 2/7 - 8/8 peso 2064 p11 - não fez no quali</t>
  </si>
  <si>
    <t xml:space="preserve">metil dopa 750 / materna </t>
  </si>
  <si>
    <t xml:space="preserve">hipertenão gestacional </t>
  </si>
  <si>
    <t>feto pig</t>
  </si>
  <si>
    <t>ndn</t>
  </si>
  <si>
    <t>iaralindozo05@gmail.com</t>
  </si>
  <si>
    <t>37s1d</t>
  </si>
  <si>
    <t>Maternidade Salvalus. IG ideal baseada em hipertensão gestacional.</t>
  </si>
  <si>
    <t xml:space="preserve">Islaine Keila da Silva </t>
  </si>
  <si>
    <t>1NQLW005104009</t>
  </si>
  <si>
    <t>(11)94810-6450 / (11)4188-1619 fixo / (11)99528-3747</t>
  </si>
  <si>
    <t xml:space="preserve">16/11: feto pélvico, 2182g (p10-50), ILA 24,1; placenta posterior grau 1, Doppler normal </t>
  </si>
  <si>
    <t xml:space="preserve">Apresentação fetal pélvica + miomatose uterina </t>
  </si>
  <si>
    <t xml:space="preserve">Materna, AAS, cálcio e progesterona </t>
  </si>
  <si>
    <t>Muitas uterinos (ístmico 7,7cm; anterior 3cm; subseroso fundico 9,8cm); feto pélvico ao US</t>
  </si>
  <si>
    <t>Polidramnio a/e (feto AIG, morgo nl, GTT nl)</t>
  </si>
  <si>
    <t>Sim</t>
  </si>
  <si>
    <t>Eveline Castro</t>
  </si>
  <si>
    <t>islainesilva799@gmail.com</t>
  </si>
  <si>
    <t>Maternidade Cruzeiro. IG ideal baseada em apresentação pélvica.</t>
  </si>
  <si>
    <t xml:space="preserve">Yzandra kimberly Gabriel Nascimento </t>
  </si>
  <si>
    <t>3010T01129400</t>
  </si>
  <si>
    <t>11 977198665 / 11937387172</t>
  </si>
  <si>
    <t>Cesárea;DIU de Cobre Pós-parto</t>
  </si>
  <si>
    <t xml:space="preserve">10/11 pf 2558,62 Doppler nl </t>
  </si>
  <si>
    <t>Desejo materno deseja inserção de MIRENA</t>
  </si>
  <si>
    <t>Jessica Costa</t>
  </si>
  <si>
    <t>yzandrakimberly@gmail.com</t>
  </si>
  <si>
    <t>Maternidade Guarulhos. IG ideal baseada em desejo materno.</t>
  </si>
  <si>
    <t>KIMBERLY BILARD DE SOUZA</t>
  </si>
  <si>
    <t xml:space="preserve"> 0PVTA000348007</t>
  </si>
  <si>
    <t>11 994814286  //  11 979898083</t>
  </si>
  <si>
    <t>12</t>
  </si>
  <si>
    <t>19/11 - 36 sem 2/7 - cef 2475 p13 mbv 6,8 plac post doppler nl pbf 10/10</t>
  </si>
  <si>
    <t>materna / vit b12 / af / sf</t>
  </si>
  <si>
    <t xml:space="preserve">bariatrica </t>
  </si>
  <si>
    <t>kimberlybilaard@hotmail.com</t>
  </si>
  <si>
    <t>39s1d</t>
  </si>
  <si>
    <t>Maternidade Salvalus. IG ideal baseada em desejo materno.</t>
  </si>
  <si>
    <t xml:space="preserve">Chayanna Joyssy Guedes dos Santos </t>
  </si>
  <si>
    <t>1SKXG000001015</t>
  </si>
  <si>
    <t>(11)98259-8802 / (11)95365-4962</t>
  </si>
  <si>
    <t xml:space="preserve">2º US 08/07: 13s6d // US 14/11: cefálico, 1971g p70 LA nl placenta posterior grau 1, Doppler normal </t>
  </si>
  <si>
    <t xml:space="preserve">Miomatose uterina / desejo materno de cesárea </t>
  </si>
  <si>
    <t xml:space="preserve">Ogestan, cálcio, AAS, Neutrofer </t>
  </si>
  <si>
    <t>Miomas uterinos: 8,2cm (lateral direito); 2,6cm (anterior); 3cm (lateral direito) descritos no US morfo/ RNM fev/25: mioma subseroso 4,2cm, submucoso 1,9cm, intramural 1,3cm e imagem para uterina de 8,4cm sugestiva de mioma degenerado.</t>
  </si>
  <si>
    <t>joyssychayanna@gmail.com</t>
  </si>
  <si>
    <t>YASMIN APARECIDA PAVANINI DE ANDRADE</t>
  </si>
  <si>
    <t>0ZBU1006800009</t>
  </si>
  <si>
    <t>11 977604686  //  11 986089889</t>
  </si>
  <si>
    <t>19/11 - 35 sem 4/7 - cef 2566 p32 mbv 5,4 plac ant doppler nl pbf 10/10</t>
  </si>
  <si>
    <t>NUTRIMATER / noripurum</t>
  </si>
  <si>
    <t>dmg</t>
  </si>
  <si>
    <t>aborto com ctg</t>
  </si>
  <si>
    <t>yasminpavanini@hotmail.com</t>
  </si>
  <si>
    <t>Maternidade Guarulhos. IG ideal baseada em DMG sem insulina.</t>
  </si>
  <si>
    <t xml:space="preserve">Tatiane de Souza Rocha </t>
  </si>
  <si>
    <t>1QWMV000034010</t>
  </si>
  <si>
    <t>11 957606950// 11 966697319</t>
  </si>
  <si>
    <t xml:space="preserve">17/11 ig35 sem 1/7 cef pesi2341g p21 mbv6,4 Doppler normal </t>
  </si>
  <si>
    <t xml:space="preserve">Iteratividade + pre eclampsia sobreposta </t>
  </si>
  <si>
    <t>Metildipa 1g , AAS 100 mg, cálcio 1g ,ofertam gold , neutrofer 500</t>
  </si>
  <si>
    <t xml:space="preserve">0Pré eclâmpsia sobreposta a HAC, iteratividade , </t>
  </si>
  <si>
    <t xml:space="preserve">Sem diagnóstico </t>
  </si>
  <si>
    <t>OFIu gestação anterior ( t 21)</t>
  </si>
  <si>
    <t>tatycaetano84@gmail.com</t>
  </si>
  <si>
    <t>Maternidade Cruzeiro. IG ideal baseada em pré-eclâmpsia sobreposta (ATENÇÃO PAA POSSIVEL ANTECIPAÇÃO CONFORME VITALIDADE  FETAL E QUADRO MATERNO).</t>
  </si>
  <si>
    <t xml:space="preserve">Léa dos Santis Silva </t>
  </si>
  <si>
    <t>1M0BI000001007</t>
  </si>
  <si>
    <t>11 970457927// 11 939455306</t>
  </si>
  <si>
    <t xml:space="preserve">11/11 8Ig33 sem 1/7 cef peso 2313g p66 mbv5,1 Doppler normal </t>
  </si>
  <si>
    <t xml:space="preserve">Diabetes gestacional em uso insulina </t>
  </si>
  <si>
    <t>Insulina nos (28-20-22) , insulina regular (4-4-4), ogestam gold, metildipa 1,5g, cálcio 1g , AAS 100 mg , sulfato ferroso 40mg</t>
  </si>
  <si>
    <t xml:space="preserve">HAC , DM II em uso de insulina , obesidade </t>
  </si>
  <si>
    <t>Feto AIG</t>
  </si>
  <si>
    <t>lea_stos@hotmail.com</t>
  </si>
  <si>
    <t xml:space="preserve">Beatriz dos Santos Pacheco </t>
  </si>
  <si>
    <t>0T9EJ000299006</t>
  </si>
  <si>
    <t>11 954599156   11 954534561</t>
  </si>
  <si>
    <t>21/10- fuv, cefalico, peso 1728,15g, placenta posterior grau II, líquido normal, doppler normal, IG 31 2/8</t>
  </si>
  <si>
    <t>Requinol, enoxaparina 40mg</t>
  </si>
  <si>
    <t>Em acompanhamento e investigação para LES</t>
  </si>
  <si>
    <t>Não há</t>
  </si>
  <si>
    <t>G1p0</t>
  </si>
  <si>
    <t>Joara Almeida</t>
  </si>
  <si>
    <t>pacheccobeatriz@gmail.com</t>
  </si>
  <si>
    <t xml:space="preserve">Driely Júlia Silva Gusmão </t>
  </si>
  <si>
    <t>1PH26000001007</t>
  </si>
  <si>
    <t>11982472622.  11991113526</t>
  </si>
  <si>
    <t xml:space="preserve">6sem </t>
  </si>
  <si>
    <t>18/11 Ig 37 semana2 d peso 3428 g p97</t>
  </si>
  <si>
    <t>Gig</t>
  </si>
  <si>
    <t xml:space="preserve">Diabetes gestacional </t>
  </si>
  <si>
    <t>Macrossomia</t>
  </si>
  <si>
    <t>Dg</t>
  </si>
  <si>
    <t>drielyjulia_01@hotmail.com</t>
  </si>
  <si>
    <t>Maternidade NotreCare. IG ideal baseada em Gig.</t>
  </si>
  <si>
    <t xml:space="preserve">Jeniffer dos Santos Dantas Nascimento </t>
  </si>
  <si>
    <t>0ZXAZ000010006</t>
  </si>
  <si>
    <t>11 953040084/ 11958242787</t>
  </si>
  <si>
    <t>Não sabe</t>
  </si>
  <si>
    <t xml:space="preserve">Usg 12/11 FULC BCF160, pfe 2353g p90, CA 320(p98), MBV 5,3 Doppler normal </t>
  </si>
  <si>
    <t>HAC+ DMG em uso de insulina + PFE p90 e CAp98</t>
  </si>
  <si>
    <t xml:space="preserve">NPH 16-14-12 </t>
  </si>
  <si>
    <t xml:space="preserve">DMG EM USO DE INSULINA + HAC </t>
  </si>
  <si>
    <t>GIG pfe p90 e CÁ p98</t>
  </si>
  <si>
    <t>Fernanda Taniguchi Falleiros</t>
  </si>
  <si>
    <t>jenifferdantas2@gmail.com</t>
  </si>
  <si>
    <t>Maternidade NotreCare. IG ideal baseada em HAC+ DMG em uso de insulina + PFE p90 e CAp98.</t>
  </si>
  <si>
    <t xml:space="preserve">Lucilene Aparecida de Almeida Santos </t>
  </si>
  <si>
    <t>0Y44C002151014</t>
  </si>
  <si>
    <t xml:space="preserve">1 fórceps </t>
  </si>
  <si>
    <t>11 998660316/ 11 972223935</t>
  </si>
  <si>
    <t xml:space="preserve">Usg 17/11 FUL CEF BCF 152bpm PFE 3081(p57), MBV 5,2cm, placa anterior II Doppler normal </t>
  </si>
  <si>
    <t xml:space="preserve">IMA + desejo materno </t>
  </si>
  <si>
    <t xml:space="preserve">Materna </t>
  </si>
  <si>
    <t xml:space="preserve">Idade materna avançada </t>
  </si>
  <si>
    <t>—-</t>
  </si>
  <si>
    <t>reisfranscisco15@gmail.com</t>
  </si>
  <si>
    <t>Maternidade NotreCare. IG ideal baseada em IMA + desejo materno .</t>
  </si>
  <si>
    <t xml:space="preserve">Adriana Aparecida dos Reis </t>
  </si>
  <si>
    <t>1TK3M001759000</t>
  </si>
  <si>
    <t>11 941081775/ 11 942411039</t>
  </si>
  <si>
    <t xml:space="preserve">Usg 31+5 FULC BCF 129, PFE 1937(p78) plac anterior Grau I, mbv 6,1cm,doppler normal  </t>
  </si>
  <si>
    <t xml:space="preserve">Pós datismo + asma </t>
  </si>
  <si>
    <t xml:space="preserve">Simbicort </t>
  </si>
  <si>
    <t xml:space="preserve">Pós data + asma </t>
  </si>
  <si>
    <t xml:space="preserve">- </t>
  </si>
  <si>
    <t xml:space="preserve">IMA + asma </t>
  </si>
  <si>
    <t>areis873@gmail.com</t>
  </si>
  <si>
    <t>Maternidade NotreCare. IG ideal baseada em Pós datismo + asma .</t>
  </si>
  <si>
    <t xml:space="preserve">Tamires Teodoro </t>
  </si>
  <si>
    <t>1ZUNX000885010</t>
  </si>
  <si>
    <t>11989577248/ 1174693420</t>
  </si>
  <si>
    <t>Usg 16/10 gemelar Didi feto 1 CEF BCF+, PFE 1135g, lá 5,8plac post I/ Feto 2 pélvico BCF+ pfe 1120, m v 5,1cm, plac ant I, Doppler normal diferença de peso 1%</t>
  </si>
  <si>
    <t xml:space="preserve">Gemelar Didi </t>
  </si>
  <si>
    <t>tamires.teodoro0324@gmail.com</t>
  </si>
  <si>
    <t>Maternidade NotreCare. IG ideal baseada em Gemelar Didi .</t>
  </si>
  <si>
    <t xml:space="preserve">Sandra da Silva Martins </t>
  </si>
  <si>
    <t>1SRCQ000194000</t>
  </si>
  <si>
    <t>11 980589124/ 11945387110</t>
  </si>
  <si>
    <t>11</t>
  </si>
  <si>
    <t xml:space="preserve">19/11 - FUL pélvico BCF+, PFE 2488g p71, plac post I, Doppler normal MBV 4,9 Doppler normal </t>
  </si>
  <si>
    <t xml:space="preserve">Pélvico </t>
  </si>
  <si>
    <t xml:space="preserve">Enoxaparina 40mg/d </t>
  </si>
  <si>
    <t xml:space="preserve">Trombofilia + IMA </t>
  </si>
  <si>
    <t xml:space="preserve">SAAAF / IMA </t>
  </si>
  <si>
    <t>douglas.souza.f@hotmail.com</t>
  </si>
  <si>
    <t>Maternidade NotreCare. IG ideal baseada em Pélvico .</t>
  </si>
  <si>
    <t>Coluna1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</si>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</sst>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\ h:mm:ss"/>
    <numFmt numFmtId="165" formatCode="yyyy\-mm\-dd;@"/>
    <numFmt numFmtId="166" formatCode="0.0"/>
    <numFmt numFmtId="167" formatCode="dd/mm/yy;@"/>
    <numFmt numFmtId="168" formatCode="yyyy\-mm\-dd\ h:mm:ss"/>
  </numFmts>
  <fonts count="2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Liberation Sans"/>
      <charset val="1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1"/>
      <name val="Liberation Sans"/>
      <charset val="1"/>
    </font>
    <font>
      <b/>
      <sz val="10"/>
      <color rgb="FFFF0000"/>
      <name val="Liberation Sans"/>
      <charset val="1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Calibri"/>
    </font>
    <font>
      <b/>
      <sz val="10"/>
      <color rgb="FF000000"/>
      <name val="Liberation Sans"/>
      <charset val="1"/>
    </font>
    <font>
      <b/>
      <u/>
      <sz val="11"/>
      <color rgb="FF000000"/>
      <name val="Aptos Narrow"/>
      <family val="2"/>
      <scheme val="minor"/>
    </font>
    <font>
      <b/>
      <sz val="12"/>
      <color rgb="FFFF0000"/>
      <name val="Calibri"/>
    </font>
    <font>
      <b/>
      <sz val="11"/>
      <color rgb="FF000000"/>
      <name val="Aptos Narrow"/>
      <charset val="1"/>
    </font>
    <font>
      <b/>
      <sz val="11"/>
      <color rgb="FF000000"/>
      <name val="Aptos Narrow"/>
      <family val="2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rgb="FFFF0000"/>
      <name val="Calibri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600"/>
        <bgColor rgb="FFFFF6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9" fillId="0" borderId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165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0" borderId="0" xfId="0" applyFont="1"/>
    <xf numFmtId="165" fontId="1" fillId="0" borderId="0" xfId="0" applyNumberFormat="1" applyFont="1"/>
    <xf numFmtId="0" fontId="1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1" fillId="2" borderId="0" xfId="0" quotePrefix="1" applyFont="1" applyFill="1" applyAlignment="1">
      <alignment horizontal="center" vertical="center" wrapText="1"/>
    </xf>
    <xf numFmtId="0" fontId="11" fillId="2" borderId="0" xfId="0" quotePrefix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4" fontId="18" fillId="3" borderId="1" xfId="0" applyNumberFormat="1" applyFont="1" applyFill="1" applyBorder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3" fillId="3" borderId="0" xfId="0" quotePrefix="1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4" fillId="3" borderId="0" xfId="0" quotePrefix="1" applyFont="1" applyFill="1" applyAlignment="1">
      <alignment horizontal="center" vertical="center"/>
    </xf>
    <xf numFmtId="0" fontId="8" fillId="3" borderId="0" xfId="0" quotePrefix="1" applyFont="1" applyFill="1" applyAlignment="1">
      <alignment horizontal="center" vertical="center"/>
    </xf>
    <xf numFmtId="0" fontId="3" fillId="3" borderId="0" xfId="0" quotePrefix="1" applyFont="1" applyFill="1" applyAlignment="1">
      <alignment horizontal="center" vertical="center" wrapText="1"/>
    </xf>
    <xf numFmtId="0" fontId="10" fillId="3" borderId="0" xfId="1" applyFont="1" applyFill="1" applyAlignment="1">
      <alignment horizontal="center" vertical="center"/>
    </xf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2" fontId="4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/>
    <xf numFmtId="0" fontId="14" fillId="2" borderId="0" xfId="1" applyFont="1" applyFill="1" applyAlignment="1">
      <alignment horizontal="center" vertical="center"/>
    </xf>
    <xf numFmtId="0" fontId="11" fillId="2" borderId="0" xfId="0" applyFont="1" applyFill="1"/>
    <xf numFmtId="0" fontId="16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4" fillId="5" borderId="2" xfId="1" applyNumberFormat="1" applyFont="1" applyFill="1" applyBorder="1" applyAlignment="1">
      <alignment horizontal="center" vertical="center"/>
    </xf>
    <xf numFmtId="14" fontId="18" fillId="5" borderId="2" xfId="0" applyNumberFormat="1" applyFont="1" applyFill="1" applyBorder="1" applyAlignment="1">
      <alignment horizontal="center" vertical="center" wrapText="1"/>
    </xf>
    <xf numFmtId="166" fontId="12" fillId="5" borderId="1" xfId="0" applyNumberFormat="1" applyFont="1" applyFill="1" applyBorder="1" applyAlignment="1">
      <alignment horizontal="center" vertical="center" wrapText="1"/>
    </xf>
    <xf numFmtId="168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4" fontId="4" fillId="5" borderId="1" xfId="1" applyNumberFormat="1" applyFont="1" applyFill="1" applyBorder="1" applyAlignment="1">
      <alignment horizontal="center" vertical="center"/>
    </xf>
    <xf numFmtId="14" fontId="18" fillId="5" borderId="1" xfId="0" applyNumberFormat="1" applyFont="1" applyFill="1" applyBorder="1" applyAlignment="1">
      <alignment horizontal="center" vertical="center" wrapText="1"/>
    </xf>
    <xf numFmtId="14" fontId="11" fillId="5" borderId="1" xfId="1" applyNumberFormat="1" applyFont="1" applyFill="1" applyBorder="1" applyAlignment="1">
      <alignment horizontal="center" vertical="center"/>
    </xf>
    <xf numFmtId="14" fontId="19" fillId="5" borderId="1" xfId="0" applyNumberFormat="1" applyFont="1" applyFill="1" applyBorder="1" applyAlignment="1">
      <alignment horizontal="center" vertical="center" wrapText="1"/>
    </xf>
    <xf numFmtId="166" fontId="15" fillId="5" borderId="1" xfId="0" applyNumberFormat="1" applyFont="1" applyFill="1" applyBorder="1" applyAlignment="1">
      <alignment horizontal="center" vertical="center" wrapText="1"/>
    </xf>
    <xf numFmtId="168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8" fontId="21" fillId="5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167" fontId="12" fillId="5" borderId="2" xfId="0" applyNumberFormat="1" applyFont="1" applyFill="1" applyBorder="1" applyAlignment="1">
      <alignment horizontal="center" vertical="center"/>
    </xf>
    <xf numFmtId="167" fontId="12" fillId="5" borderId="1" xfId="0" applyNumberFormat="1" applyFont="1" applyFill="1" applyBorder="1" applyAlignment="1">
      <alignment horizontal="center" vertical="center"/>
    </xf>
    <xf numFmtId="168" fontId="17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</cellXfs>
  <cellStyles count="2">
    <cellStyle name="Hyperlink" xfId="1" xr:uid="{00000000-0005-0000-0000-000001000000}"/>
    <cellStyle name="Normal" xfId="0" builtinId="0"/>
  </cellStyles>
  <dxfs count="47">
    <dxf>
      <font>
        <color rgb="FF9C0006"/>
      </font>
      <fill>
        <patternFill patternType="solid">
          <bgColor theme="8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 wrapText="1"/>
    </dxf>
    <dxf>
      <numFmt numFmtId="167" formatCode="dd/mm/yy;@"/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z val="11"/>
        <color rgb="FFFF0000"/>
        <name val="Calibri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0000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 wrapText="1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 wrapText="1"/>
    </dxf>
    <dxf>
      <numFmt numFmtId="0" formatCode="General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theme="1"/>
        <name val="Liberation Sans"/>
        <charset val="1"/>
      </font>
      <numFmt numFmtId="0" formatCode="General"/>
      <alignment horizontal="center" vertical="center"/>
    </dxf>
    <dxf>
      <font>
        <color rgb="FF0070C0"/>
      </font>
      <numFmt numFmtId="0" formatCode="General"/>
      <alignment horizontal="center" vertical="center"/>
    </dxf>
    <dxf>
      <numFmt numFmtId="0" formatCode="General"/>
      <alignment horizontal="center" vertical="center" wrapText="1"/>
    </dxf>
    <dxf>
      <font>
        <color rgb="FFFF0000"/>
      </font>
      <numFmt numFmtId="0" formatCode="General"/>
      <alignment horizontal="center" vertical="center"/>
    </dxf>
    <dxf>
      <font>
        <color rgb="FFFF0000"/>
      </font>
      <numFmt numFmtId="0" formatCode="General"/>
      <alignment horizontal="center" vertical="center"/>
    </dxf>
    <dxf>
      <font>
        <color rgb="FFFF0000"/>
      </font>
      <numFmt numFmtId="19" formatCode="dd/mm/yyyy"/>
      <alignment horizontal="center" vertical="center"/>
    </dxf>
    <dxf>
      <numFmt numFmtId="169" formatCode="m/d/yyyy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 wrapText="1"/>
    </dxf>
    <dxf>
      <numFmt numFmtId="169" formatCode="m/d/yyyy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164" formatCode="m/d/yyyy\ h:mm:ss"/>
      <alignment horizontal="center" vertical="center"/>
    </dxf>
    <dxf>
      <numFmt numFmtId="164" formatCode="m/d/yyyy\ h:mm:ss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 xml:space="preserve">6sem </v>
    <v>2</v>
    <v>5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ptg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Q43" totalsRowShown="0" headerRowDxfId="46" dataDxfId="45">
  <autoFilter ref="A1:AQ43" xr:uid="{00000000-0009-0000-0100-000001000000}"/>
  <sortState xmlns:xlrd2="http://schemas.microsoft.com/office/spreadsheetml/2017/richdata2" ref="A2:AQ19">
    <sortCondition ref="AE1:AE19"/>
  </sortState>
  <tableColumns count="43">
    <tableColumn id="1" xr3:uid="{00000000-0010-0000-0000-000001000000}" name="ID" dataDxfId="44"/>
    <tableColumn id="2" xr3:uid="{00000000-0010-0000-0000-000002000000}" name="Hora de início" dataDxfId="43"/>
    <tableColumn id="3" xr3:uid="{00000000-0010-0000-0000-000003000000}" name="Hora da conclusão" dataDxfId="42"/>
    <tableColumn id="4" xr3:uid="{00000000-0010-0000-0000-000004000000}" name="Email" dataDxfId="41"/>
    <tableColumn id="5" xr3:uid="{00000000-0010-0000-0000-000005000000}" name="Nome" dataDxfId="40"/>
    <tableColumn id="6" xr3:uid="{00000000-0010-0000-0000-000006000000}" name="Nome completo da paciente" dataDxfId="39"/>
    <tableColumn id="7" xr3:uid="{00000000-0010-0000-0000-000007000000}" name="Data de nascimento da gestante " dataDxfId="38"/>
    <tableColumn id="8" xr3:uid="{00000000-0010-0000-0000-000008000000}" name="CARTEIRINHA (tem na guia que sai do sistema - não inserir CPF)" dataDxfId="37"/>
    <tableColumn id="9" xr3:uid="{00000000-0010-0000-0000-000009000000}" name="Número de Gestações" dataDxfId="36"/>
    <tableColumn id="10" xr3:uid="{00000000-0010-0000-0000-00000A000000}" name="Número de Partos Cesáreas" dataDxfId="35"/>
    <tableColumn id="11" xr3:uid="{00000000-0010-0000-0000-00000B000000}" name="Número de Partos Normais" dataDxfId="34"/>
    <tableColumn id="12" xr3:uid="{00000000-0010-0000-0000-00000C000000}" name="Número de Abortos" dataDxfId="33"/>
    <tableColumn id="13" xr3:uid="{00000000-0010-0000-0000-00000D000000}" name="Informe dois telefones de contato com o paciente para que ele seja contato pelo hospital" dataDxfId="32"/>
    <tableColumn id="14" xr3:uid="{00000000-0010-0000-0000-00000E000000}" name="Informe o procedimento(s) que será(ão) realizado(s)" dataDxfId="31"/>
    <tableColumn id="15" xr3:uid="{00000000-0010-0000-0000-00000F000000}" name="DUM " dataDxfId="30"/>
    <tableColumn id="16" xr3:uid="{00000000-0010-0000-0000-000010000000}" name="Data da DUM" dataDxfId="29"/>
    <tableColumn id="17" xr3:uid="{00000000-0010-0000-0000-000011000000}" name="Data do Primeiro USG" dataDxfId="28"/>
    <tableColumn id="18" xr3:uid="{00000000-0010-0000-0000-000012000000}" name="Numero de semanas no primeiro USG (inserir apenas o numero) - considerar o exame entre 8 e 12 semanas, embrião com BCF" dataDxfId="27"/>
    <tableColumn id="19" xr3:uid="{00000000-0010-0000-0000-000013000000}" name="Numero de dias no primeiro USG (inserir apenas o numero)- considerar o exame entre 8 e 12 semanas, embrião com BCF" dataDxfId="26"/>
    <tableColumn id="20" xr3:uid="{00000000-0010-0000-0000-000014000000}" name="USG mais recente (Inserir data, apresentação, PFE com percentil, ILA/MBV e doppler)" dataDxfId="25"/>
    <tableColumn id="21" xr3:uid="{00000000-0010-0000-0000-000015000000}" name="Coluna1" dataDxfId="24"/>
    <tableColumn id="37" xr3:uid="{00000000-0010-0000-0000-000025000000}" name="Coluna3" dataDxfId="23"/>
    <tableColumn id="22" xr3:uid="{00000000-0010-0000-0000-000016000000}" name="Informe a indicação do procedimento" dataDxfId="22"/>
    <tableColumn id="23" xr3:uid="{00000000-0010-0000-0000-000017000000}" name="Indique qual medicação e dosagem que a paciente utiliza." dataDxfId="21"/>
    <tableColumn id="24" xr3:uid="{00000000-0010-0000-0000-000018000000}" name="Indique os Diagnósticos Obstétricos Maternos ATUAIS ( ex. DMG com/sem insulina, Pre-eclampsia, Hipertensão gestacional, TPP na gestação atual, RPMO na gestação atual, hipotireoidismo gestacional, etc)" dataDxfId="20"/>
    <tableColumn id="25" xr3:uid="{00000000-0010-0000-0000-000019000000}" name="Placenta previa centro total com acretismo confirmado ou suspeito" dataDxfId="19"/>
    <tableColumn id="26" xr3:uid="{00000000-0010-0000-0000-00001A000000}" name="Indique os Diagnósticos Fetais (ex: RCF, Oligo/Polidramnio, Macrossomia, malformação fetal - especificar, cardiopatia fetal - especificar, etc)" dataDxfId="18"/>
    <tableColumn id="27" xr3:uid="{00000000-0010-0000-0000-00001B000000}" name="Informe História Obstétrica Prévia Relevante e Diagnósticos clínicos cirúrgicos (ex. Aborto tardio, parto prematuro,  óbito fetal, DMG, macrossomia, eclampsia, pré eclampsia precoce, cardiopatia - esp" dataDxfId="17"/>
    <tableColumn id="28" xr3:uid="{00000000-0010-0000-0000-00001C000000}" name="Necessidade de reserva de UTI materna" dataDxfId="16"/>
    <tableColumn id="29" xr3:uid="{00000000-0010-0000-0000-00001D000000}" name="Necessidade de reserva de Sangue" dataDxfId="15"/>
    <tableColumn id="30" xr3:uid="{00000000-0010-0000-0000-00001E000000}" name="Maternidade que a paciente deseja" dataDxfId="14"/>
    <tableColumn id="31" xr3:uid="{00000000-0010-0000-0000-00001F000000}" name="Médico responsável pelo agendamento " dataDxfId="13"/>
    <tableColumn id="33" xr3:uid="{00000000-0010-0000-0000-000021000000}" name="E-mail da paciente" dataDxfId="12"/>
    <tableColumn id="43" xr3:uid="{00000000-0010-0000-0000-00002B000000}" name="DPP DUM" dataDxfId="11" dataCellStyle="Hyperlink">
      <calculatedColumnFormula>P2+280</calculatedColumnFormula>
    </tableColumn>
    <tableColumn id="34" xr3:uid="{00000000-0010-0000-0000-000022000000}" name="DPP USG" dataDxfId="10">
      <calculatedColumnFormula>Q2+(280-(R2*7+S2))</calculatedColumnFormula>
    </tableColumn>
    <tableColumn id="40" xr3:uid="{00000000-0010-0000-0000-000028000000}" name="Idade" dataDxfId="9">
      <calculatedColumnFormula>(TODAY()-G2)/365</calculatedColumnFormula>
    </tableColumn>
    <tableColumn id="35" xr3:uid="{00000000-0010-0000-0000-000023000000}" name="Coluna2" dataDxfId="8"/>
    <tableColumn id="36" xr3:uid="{00000000-0010-0000-0000-000024000000}" name="IG IDEAL" dataDxfId="7"/>
    <tableColumn id="38" xr3:uid="{00000000-0010-0000-0000-000026000000}" name="Data Agendada2" dataDxfId="6"/>
    <tableColumn id="39" xr3:uid="{00000000-0010-0000-0000-000027000000}" name="IG na data" dataDxfId="5"/>
    <tableColumn id="32" xr3:uid="{00000000-0010-0000-0000-000020000000}" name="Intervalo (dias)" dataDxfId="4"/>
    <tableColumn id="41" xr3:uid="{00000000-0010-0000-0000-000029000000}" name="Observações" dataDxfId="3"/>
    <tableColumn id="42" xr3:uid="{00000000-0010-0000-0000-00002A000000}" name="Coluna26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1"/>
  <sheetViews>
    <sheetView tabSelected="1" topLeftCell="G1" workbookViewId="0">
      <pane ySplit="1" topLeftCell="A32" activePane="bottomLeft" state="frozen"/>
      <selection activeCell="G1" sqref="G1"/>
      <selection pane="bottomLeft" activeCell="G1" sqref="A1:XFD1048576"/>
    </sheetView>
  </sheetViews>
  <sheetFormatPr defaultColWidth="9.1796875" defaultRowHeight="24.75" customHeight="1" x14ac:dyDescent="0.35"/>
  <cols>
    <col min="1" max="1" width="19" customWidth="1"/>
    <col min="2" max="2" width="18.81640625" customWidth="1"/>
    <col min="3" max="3" width="20.1796875" hidden="1" customWidth="1"/>
    <col min="4" max="4" width="7" hidden="1" customWidth="1"/>
    <col min="5" max="5" width="5.54296875" hidden="1" customWidth="1"/>
    <col min="6" max="6" width="46.54296875" customWidth="1"/>
    <col min="7" max="7" width="14.26953125" customWidth="1"/>
    <col min="8" max="8" width="20.453125" customWidth="1"/>
    <col min="9" max="9" width="10.7265625" customWidth="1"/>
    <col min="10" max="10" width="11.54296875" customWidth="1"/>
    <col min="11" max="11" width="10" customWidth="1"/>
    <col min="12" max="12" width="11.453125" customWidth="1"/>
    <col min="13" max="13" width="30.453125" customWidth="1"/>
    <col min="14" max="14" width="30.7265625" customWidth="1"/>
    <col min="15" max="15" width="19" customWidth="1"/>
    <col min="16" max="16" width="10.81640625" customWidth="1"/>
    <col min="17" max="17" width="12.26953125" style="12" customWidth="1"/>
    <col min="18" max="18" width="10.7265625" style="13" customWidth="1"/>
    <col min="19" max="19" width="17" style="13" customWidth="1"/>
    <col min="20" max="20" width="45" style="14" customWidth="1"/>
    <col min="21" max="21" width="15.1796875" style="15" customWidth="1"/>
    <col min="22" max="22" width="15.54296875" customWidth="1"/>
    <col min="23" max="23" width="24.26953125" customWidth="1"/>
    <col min="24" max="24" width="19.54296875" customWidth="1"/>
    <col min="25" max="25" width="33.81640625" customWidth="1"/>
    <col min="26" max="26" width="9.1796875" customWidth="1"/>
    <col min="27" max="27" width="31.7265625" customWidth="1"/>
    <col min="28" max="28" width="15.26953125" style="14" customWidth="1"/>
    <col min="29" max="29" width="16.453125" customWidth="1"/>
    <col min="30" max="30" width="14" customWidth="1"/>
    <col min="31" max="31" width="17.1796875" customWidth="1"/>
    <col min="32" max="32" width="26.54296875" customWidth="1"/>
    <col min="33" max="33" width="30.81640625" customWidth="1"/>
    <col min="34" max="34" width="18.453125" style="27" customWidth="1"/>
    <col min="35" max="35" width="13.54296875" style="27" customWidth="1"/>
    <col min="36" max="36" width="13.453125" style="14" customWidth="1"/>
    <col min="37" max="37" width="61.453125" customWidth="1"/>
    <col min="38" max="38" width="14.26953125" style="63" customWidth="1"/>
    <col min="39" max="39" width="19.26953125" style="63" customWidth="1"/>
    <col min="40" max="40" width="15.26953125" style="63" customWidth="1"/>
    <col min="41" max="41" width="18.26953125" style="63" customWidth="1"/>
    <col min="42" max="42" width="44.81640625" customWidth="1"/>
    <col min="43" max="43" width="21.26953125" customWidth="1"/>
  </cols>
  <sheetData>
    <row r="1" spans="1:46" s="1" customFormat="1" ht="49.5" customHeight="1" x14ac:dyDescent="0.35">
      <c r="A1" s="3" t="s">
        <v>0</v>
      </c>
      <c r="B1" s="4" t="s">
        <v>1</v>
      </c>
      <c r="C1" s="2" t="s">
        <v>2</v>
      </c>
      <c r="D1" s="1" t="s">
        <v>3</v>
      </c>
      <c r="E1" s="3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5" t="s">
        <v>19</v>
      </c>
      <c r="U1" s="9" t="s">
        <v>510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8" t="s">
        <v>32</v>
      </c>
      <c r="AI1" s="28" t="s">
        <v>33</v>
      </c>
      <c r="AJ1" s="10" t="s">
        <v>34</v>
      </c>
      <c r="AK1" s="5" t="s">
        <v>511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</row>
    <row r="2" spans="1:46" s="11" customFormat="1" ht="24.75" customHeight="1" x14ac:dyDescent="0.35">
      <c r="A2" s="22">
        <v>2515</v>
      </c>
      <c r="B2" s="36">
        <v>45978.334814814807</v>
      </c>
      <c r="C2" s="36">
        <v>45978.338796296302</v>
      </c>
      <c r="D2" s="22" t="s">
        <v>41</v>
      </c>
      <c r="E2" s="22"/>
      <c r="F2" s="22" t="s">
        <v>42</v>
      </c>
      <c r="G2" s="37">
        <v>31769</v>
      </c>
      <c r="H2" s="34" t="s">
        <v>43</v>
      </c>
      <c r="I2" s="38" t="s">
        <v>44</v>
      </c>
      <c r="J2" s="38" t="s">
        <v>45</v>
      </c>
      <c r="K2" s="38" t="s">
        <v>45</v>
      </c>
      <c r="L2" s="38" t="s">
        <v>45</v>
      </c>
      <c r="M2" s="38" t="s">
        <v>46</v>
      </c>
      <c r="N2" s="22" t="s">
        <v>47</v>
      </c>
      <c r="O2" s="22" t="s">
        <v>48</v>
      </c>
      <c r="P2" s="37">
        <v>45744</v>
      </c>
      <c r="Q2" s="39">
        <v>45815</v>
      </c>
      <c r="R2" s="40" t="s">
        <v>49</v>
      </c>
      <c r="S2" s="40" t="s">
        <v>50</v>
      </c>
      <c r="T2" s="34" t="s">
        <v>51</v>
      </c>
      <c r="U2" s="41"/>
      <c r="V2" s="16"/>
      <c r="W2" s="22" t="s">
        <v>52</v>
      </c>
      <c r="X2" s="42" t="s">
        <v>53</v>
      </c>
      <c r="Y2" s="38" t="s">
        <v>54</v>
      </c>
      <c r="Z2" s="22" t="s">
        <v>55</v>
      </c>
      <c r="AA2" s="42" t="s">
        <v>56</v>
      </c>
      <c r="AB2" s="42" t="s">
        <v>57</v>
      </c>
      <c r="AC2" s="22" t="s">
        <v>55</v>
      </c>
      <c r="AD2" s="22" t="s">
        <v>55</v>
      </c>
      <c r="AE2" s="22" t="s">
        <v>58</v>
      </c>
      <c r="AF2" s="22" t="s">
        <v>59</v>
      </c>
      <c r="AG2" s="43" t="s">
        <v>60</v>
      </c>
      <c r="AH2" s="71">
        <f t="shared" ref="AH2:AH43" si="0">P2+280</f>
        <v>46024</v>
      </c>
      <c r="AI2" s="72">
        <f t="shared" ref="AI2:AI43" si="1">Q2+(280-(R2*7+S2))</f>
        <v>46026</v>
      </c>
      <c r="AJ2" s="73">
        <f t="shared" ref="AJ2:AJ11" ca="1" si="2">(TODAY()-G2)/365</f>
        <v>38.939726027397263</v>
      </c>
      <c r="AK2" s="34"/>
      <c r="AL2" s="22" t="s">
        <v>61</v>
      </c>
      <c r="AM2" s="74">
        <v>46010</v>
      </c>
      <c r="AN2" s="75" t="s">
        <v>62</v>
      </c>
      <c r="AO2" s="75">
        <v>30</v>
      </c>
      <c r="AP2" s="75" t="s">
        <v>63</v>
      </c>
      <c r="AQ2" s="22"/>
    </row>
    <row r="3" spans="1:46" s="44" customFormat="1" ht="24.75" customHeight="1" x14ac:dyDescent="0.35">
      <c r="A3" s="22">
        <v>2521</v>
      </c>
      <c r="B3" s="36">
        <v>45978.433194444442</v>
      </c>
      <c r="C3" s="36">
        <v>45978.440405092602</v>
      </c>
      <c r="D3" s="22" t="s">
        <v>41</v>
      </c>
      <c r="E3" s="22"/>
      <c r="F3" s="22" t="s">
        <v>64</v>
      </c>
      <c r="G3" s="37">
        <v>45836</v>
      </c>
      <c r="H3" s="34" t="s">
        <v>65</v>
      </c>
      <c r="I3" s="38" t="s">
        <v>66</v>
      </c>
      <c r="J3" s="38" t="s">
        <v>45</v>
      </c>
      <c r="K3" s="38" t="s">
        <v>45</v>
      </c>
      <c r="L3" s="38" t="s">
        <v>67</v>
      </c>
      <c r="M3" s="38" t="s">
        <v>68</v>
      </c>
      <c r="N3" s="22" t="s">
        <v>47</v>
      </c>
      <c r="O3" s="22" t="s">
        <v>48</v>
      </c>
      <c r="P3" s="37">
        <v>45728</v>
      </c>
      <c r="Q3" s="39">
        <v>45790</v>
      </c>
      <c r="R3" s="48">
        <v>8</v>
      </c>
      <c r="S3" s="45">
        <v>7</v>
      </c>
      <c r="T3" s="34" t="s">
        <v>69</v>
      </c>
      <c r="U3" s="41"/>
      <c r="V3" s="16"/>
      <c r="W3" s="22" t="s">
        <v>70</v>
      </c>
      <c r="X3" s="42" t="s">
        <v>71</v>
      </c>
      <c r="Y3" s="38" t="s">
        <v>72</v>
      </c>
      <c r="Z3" s="22" t="s">
        <v>55</v>
      </c>
      <c r="AA3" s="42" t="s">
        <v>73</v>
      </c>
      <c r="AB3" s="42" t="s">
        <v>74</v>
      </c>
      <c r="AC3" s="22" t="s">
        <v>55</v>
      </c>
      <c r="AD3" s="22" t="s">
        <v>55</v>
      </c>
      <c r="AE3" s="22" t="s">
        <v>58</v>
      </c>
      <c r="AF3" s="22" t="s">
        <v>75</v>
      </c>
      <c r="AG3" s="43" t="s">
        <v>76</v>
      </c>
      <c r="AH3" s="71">
        <f t="shared" si="0"/>
        <v>46008</v>
      </c>
      <c r="AI3" s="72">
        <f t="shared" si="1"/>
        <v>46007</v>
      </c>
      <c r="AJ3" s="73">
        <f t="shared" ca="1" si="2"/>
        <v>0.4</v>
      </c>
      <c r="AK3" s="34"/>
      <c r="AL3" s="22" t="s">
        <v>77</v>
      </c>
      <c r="AM3" s="22" t="s">
        <v>78</v>
      </c>
      <c r="AN3" s="22" t="s">
        <v>79</v>
      </c>
      <c r="AO3" s="22" t="s">
        <v>80</v>
      </c>
      <c r="AP3" s="22"/>
      <c r="AQ3" s="22"/>
    </row>
    <row r="4" spans="1:46" s="11" customFormat="1" ht="24.75" customHeight="1" x14ac:dyDescent="0.35">
      <c r="A4" s="22">
        <v>2529</v>
      </c>
      <c r="B4" s="36">
        <v>45978.644270833327</v>
      </c>
      <c r="C4" s="36">
        <v>45978.648159722223</v>
      </c>
      <c r="D4" s="22" t="s">
        <v>41</v>
      </c>
      <c r="E4" s="22"/>
      <c r="F4" s="22" t="s">
        <v>81</v>
      </c>
      <c r="G4" s="37">
        <v>37673</v>
      </c>
      <c r="H4" s="34" t="s">
        <v>82</v>
      </c>
      <c r="I4" s="38" t="s">
        <v>45</v>
      </c>
      <c r="J4" s="38" t="s">
        <v>67</v>
      </c>
      <c r="K4" s="38" t="s">
        <v>67</v>
      </c>
      <c r="L4" s="38" t="s">
        <v>67</v>
      </c>
      <c r="M4" s="38" t="s">
        <v>83</v>
      </c>
      <c r="N4" s="22" t="s">
        <v>84</v>
      </c>
      <c r="O4" s="22" t="s">
        <v>48</v>
      </c>
      <c r="P4" s="37">
        <v>45724</v>
      </c>
      <c r="Q4" s="39">
        <v>45783</v>
      </c>
      <c r="R4" s="40" t="s">
        <v>85</v>
      </c>
      <c r="S4" s="40" t="s">
        <v>50</v>
      </c>
      <c r="T4" s="34" t="s">
        <v>86</v>
      </c>
      <c r="U4" s="41"/>
      <c r="V4" s="16"/>
      <c r="W4" s="22" t="s">
        <v>87</v>
      </c>
      <c r="X4" s="42" t="s">
        <v>88</v>
      </c>
      <c r="Y4" s="38" t="s">
        <v>87</v>
      </c>
      <c r="Z4" s="22" t="s">
        <v>55</v>
      </c>
      <c r="AA4" s="42" t="s">
        <v>89</v>
      </c>
      <c r="AB4" s="42" t="s">
        <v>90</v>
      </c>
      <c r="AC4" s="22" t="s">
        <v>55</v>
      </c>
      <c r="AD4" s="22" t="s">
        <v>55</v>
      </c>
      <c r="AE4" s="22" t="s">
        <v>58</v>
      </c>
      <c r="AF4" s="22" t="s">
        <v>91</v>
      </c>
      <c r="AG4" s="43" t="s">
        <v>92</v>
      </c>
      <c r="AH4" s="71">
        <f t="shared" si="0"/>
        <v>46004</v>
      </c>
      <c r="AI4" s="72">
        <f t="shared" si="1"/>
        <v>46001</v>
      </c>
      <c r="AJ4" s="73">
        <f t="shared" ca="1" si="2"/>
        <v>22.764383561643836</v>
      </c>
      <c r="AK4" s="34"/>
      <c r="AL4" s="22" t="s">
        <v>93</v>
      </c>
      <c r="AM4" s="74">
        <v>46004</v>
      </c>
      <c r="AN4" s="75" t="s">
        <v>94</v>
      </c>
      <c r="AO4" s="75">
        <v>24</v>
      </c>
      <c r="AP4" s="75" t="s">
        <v>95</v>
      </c>
      <c r="AQ4" s="22"/>
    </row>
    <row r="5" spans="1:46" s="44" customFormat="1" ht="24.75" customHeight="1" x14ac:dyDescent="0.35">
      <c r="A5" s="50">
        <v>2550</v>
      </c>
      <c r="B5" s="51">
        <v>45979.630439814813</v>
      </c>
      <c r="C5" s="51">
        <v>45979.635289351849</v>
      </c>
      <c r="D5" s="50" t="s">
        <v>41</v>
      </c>
      <c r="E5" s="50"/>
      <c r="F5" s="50" t="s">
        <v>96</v>
      </c>
      <c r="G5" s="52">
        <v>31838</v>
      </c>
      <c r="H5" s="17" t="s">
        <v>97</v>
      </c>
      <c r="I5" s="53" t="s">
        <v>45</v>
      </c>
      <c r="J5" s="53" t="s">
        <v>67</v>
      </c>
      <c r="K5" s="53" t="s">
        <v>67</v>
      </c>
      <c r="L5" s="53" t="s">
        <v>67</v>
      </c>
      <c r="M5" s="50" t="s">
        <v>98</v>
      </c>
      <c r="N5" s="50" t="s">
        <v>84</v>
      </c>
      <c r="O5" s="50" t="s">
        <v>48</v>
      </c>
      <c r="P5" s="52">
        <v>45717</v>
      </c>
      <c r="Q5" s="46">
        <v>45799</v>
      </c>
      <c r="R5" s="47" t="s">
        <v>49</v>
      </c>
      <c r="S5" s="47" t="s">
        <v>50</v>
      </c>
      <c r="T5" s="17" t="s">
        <v>99</v>
      </c>
      <c r="U5" s="54"/>
      <c r="V5" s="21"/>
      <c r="W5" s="50" t="s">
        <v>100</v>
      </c>
      <c r="X5" s="17" t="s">
        <v>101</v>
      </c>
      <c r="Y5" s="50" t="s">
        <v>102</v>
      </c>
      <c r="Z5" s="50" t="s">
        <v>55</v>
      </c>
      <c r="AA5" s="50" t="s">
        <v>103</v>
      </c>
      <c r="AB5" s="17" t="s">
        <v>104</v>
      </c>
      <c r="AC5" s="50" t="s">
        <v>55</v>
      </c>
      <c r="AD5" s="50" t="s">
        <v>55</v>
      </c>
      <c r="AE5" s="50" t="s">
        <v>58</v>
      </c>
      <c r="AF5" s="50" t="s">
        <v>105</v>
      </c>
      <c r="AG5" s="50" t="s">
        <v>106</v>
      </c>
      <c r="AH5" s="76">
        <f t="shared" si="0"/>
        <v>45997</v>
      </c>
      <c r="AI5" s="77">
        <f t="shared" si="1"/>
        <v>46010</v>
      </c>
      <c r="AJ5" s="73">
        <f t="shared" ca="1" si="2"/>
        <v>38.750684931506846</v>
      </c>
      <c r="AK5" s="17"/>
      <c r="AL5" s="22" t="s">
        <v>107</v>
      </c>
      <c r="AM5" s="50" t="s">
        <v>108</v>
      </c>
      <c r="AN5" s="50"/>
      <c r="AO5" s="50"/>
      <c r="AP5" s="50"/>
      <c r="AQ5" s="50"/>
    </row>
    <row r="6" spans="1:46" s="60" customFormat="1" ht="24.75" customHeight="1" x14ac:dyDescent="0.35">
      <c r="A6" s="24">
        <v>2449</v>
      </c>
      <c r="B6" s="25">
        <v>45968.696192129632</v>
      </c>
      <c r="C6" s="25">
        <v>45968.698969907397</v>
      </c>
      <c r="D6" s="24" t="s">
        <v>41</v>
      </c>
      <c r="E6" s="24"/>
      <c r="F6" s="24" t="s">
        <v>109</v>
      </c>
      <c r="G6" s="23">
        <v>31643</v>
      </c>
      <c r="H6" s="26" t="s">
        <v>110</v>
      </c>
      <c r="I6" s="20" t="s">
        <v>111</v>
      </c>
      <c r="J6" s="20" t="s">
        <v>45</v>
      </c>
      <c r="K6" s="20" t="s">
        <v>67</v>
      </c>
      <c r="L6" s="20" t="s">
        <v>67</v>
      </c>
      <c r="M6" s="20" t="s">
        <v>112</v>
      </c>
      <c r="N6" s="24" t="s">
        <v>47</v>
      </c>
      <c r="O6" s="24" t="s">
        <v>48</v>
      </c>
      <c r="P6" s="23">
        <v>45712</v>
      </c>
      <c r="Q6" s="23">
        <v>45813</v>
      </c>
      <c r="R6" s="20">
        <v>12</v>
      </c>
      <c r="S6" s="20" t="s">
        <v>50</v>
      </c>
      <c r="T6" s="26" t="s">
        <v>113</v>
      </c>
      <c r="U6" s="20"/>
      <c r="V6" s="18"/>
      <c r="W6" s="24" t="s">
        <v>114</v>
      </c>
      <c r="X6" s="19" t="s">
        <v>115</v>
      </c>
      <c r="Y6" s="20" t="s">
        <v>116</v>
      </c>
      <c r="Z6" s="24" t="s">
        <v>55</v>
      </c>
      <c r="AA6" s="19" t="s">
        <v>117</v>
      </c>
      <c r="AB6" s="19" t="s">
        <v>115</v>
      </c>
      <c r="AC6" s="24" t="s">
        <v>55</v>
      </c>
      <c r="AD6" s="24" t="s">
        <v>55</v>
      </c>
      <c r="AE6" s="24" t="s">
        <v>118</v>
      </c>
      <c r="AF6" s="24" t="s">
        <v>119</v>
      </c>
      <c r="AG6" s="59" t="s">
        <v>120</v>
      </c>
      <c r="AH6" s="78">
        <f t="shared" si="0"/>
        <v>45992</v>
      </c>
      <c r="AI6" s="79">
        <f t="shared" si="1"/>
        <v>46003</v>
      </c>
      <c r="AJ6" s="73">
        <f t="shared" ca="1" si="2"/>
        <v>39.284931506849318</v>
      </c>
      <c r="AK6" s="26"/>
      <c r="AL6" s="24" t="s">
        <v>121</v>
      </c>
      <c r="AM6" s="24" t="s">
        <v>122</v>
      </c>
      <c r="AN6" s="24" t="s">
        <v>123</v>
      </c>
      <c r="AO6" s="24" t="s">
        <v>124</v>
      </c>
      <c r="AP6" s="24"/>
      <c r="AQ6" s="24"/>
    </row>
    <row r="7" spans="1:46" ht="24.75" customHeight="1" x14ac:dyDescent="0.35">
      <c r="A7" s="22">
        <v>2452</v>
      </c>
      <c r="B7" s="36">
        <v>45969.469768518517</v>
      </c>
      <c r="C7" s="36">
        <v>45969.472511574073</v>
      </c>
      <c r="D7" s="22" t="s">
        <v>41</v>
      </c>
      <c r="E7" s="22"/>
      <c r="F7" s="22" t="s">
        <v>125</v>
      </c>
      <c r="G7" s="37">
        <v>35495</v>
      </c>
      <c r="H7" s="34" t="s">
        <v>126</v>
      </c>
      <c r="I7" s="38" t="s">
        <v>66</v>
      </c>
      <c r="J7" s="38" t="s">
        <v>111</v>
      </c>
      <c r="K7" s="38" t="s">
        <v>67</v>
      </c>
      <c r="L7" s="38" t="s">
        <v>67</v>
      </c>
      <c r="M7" s="38" t="s">
        <v>127</v>
      </c>
      <c r="N7" s="22" t="s">
        <v>47</v>
      </c>
      <c r="O7" s="22" t="s">
        <v>128</v>
      </c>
      <c r="P7" s="37"/>
      <c r="Q7" s="39">
        <v>45764</v>
      </c>
      <c r="R7" s="40">
        <v>7</v>
      </c>
      <c r="S7" s="40" t="s">
        <v>129</v>
      </c>
      <c r="T7" s="34" t="s">
        <v>130</v>
      </c>
      <c r="U7" s="41"/>
      <c r="V7" s="16"/>
      <c r="W7" s="22" t="s">
        <v>131</v>
      </c>
      <c r="X7" s="42" t="s">
        <v>132</v>
      </c>
      <c r="Y7" s="38" t="s">
        <v>133</v>
      </c>
      <c r="Z7" s="22" t="s">
        <v>55</v>
      </c>
      <c r="AA7" s="42" t="s">
        <v>134</v>
      </c>
      <c r="AB7" s="42" t="s">
        <v>135</v>
      </c>
      <c r="AC7" s="22" t="s">
        <v>55</v>
      </c>
      <c r="AD7" s="22" t="s">
        <v>55</v>
      </c>
      <c r="AE7" s="22" t="s">
        <v>118</v>
      </c>
      <c r="AF7" s="22" t="s">
        <v>136</v>
      </c>
      <c r="AG7" s="43" t="s">
        <v>137</v>
      </c>
      <c r="AH7" s="76">
        <f t="shared" si="0"/>
        <v>280</v>
      </c>
      <c r="AI7" s="77">
        <f t="shared" si="1"/>
        <v>45990</v>
      </c>
      <c r="AJ7" s="73">
        <f t="shared" ca="1" si="2"/>
        <v>28.731506849315068</v>
      </c>
      <c r="AK7" s="34"/>
      <c r="AL7" s="61" t="s">
        <v>138</v>
      </c>
      <c r="AM7" s="22" t="s">
        <v>139</v>
      </c>
      <c r="AN7" s="22"/>
      <c r="AO7" s="22"/>
      <c r="AP7" s="22"/>
      <c r="AQ7" s="22"/>
    </row>
    <row r="8" spans="1:46" ht="24.75" customHeight="1" x14ac:dyDescent="0.35">
      <c r="A8" s="22">
        <v>2502</v>
      </c>
      <c r="B8" s="36">
        <v>45974.613425925927</v>
      </c>
      <c r="C8" s="36">
        <v>45974.623229166667</v>
      </c>
      <c r="D8" s="22" t="s">
        <v>41</v>
      </c>
      <c r="E8" s="22"/>
      <c r="F8" s="22" t="s">
        <v>140</v>
      </c>
      <c r="G8" s="37">
        <v>45765</v>
      </c>
      <c r="H8" s="34" t="s">
        <v>141</v>
      </c>
      <c r="I8" s="38" t="s">
        <v>45</v>
      </c>
      <c r="J8" s="38" t="s">
        <v>67</v>
      </c>
      <c r="K8" s="38" t="s">
        <v>67</v>
      </c>
      <c r="L8" s="38" t="s">
        <v>67</v>
      </c>
      <c r="M8" s="38" t="s">
        <v>142</v>
      </c>
      <c r="N8" s="22" t="s">
        <v>143</v>
      </c>
      <c r="O8" s="22" t="s">
        <v>128</v>
      </c>
      <c r="P8" s="37"/>
      <c r="Q8" s="39">
        <v>45782</v>
      </c>
      <c r="R8" s="48">
        <v>8</v>
      </c>
      <c r="S8" s="45">
        <v>4</v>
      </c>
      <c r="T8" s="34" t="s">
        <v>144</v>
      </c>
      <c r="U8" s="41"/>
      <c r="V8" s="16"/>
      <c r="W8" s="22" t="s">
        <v>145</v>
      </c>
      <c r="X8" s="42" t="s">
        <v>146</v>
      </c>
      <c r="Y8" s="38" t="s">
        <v>147</v>
      </c>
      <c r="Z8" s="22" t="s">
        <v>55</v>
      </c>
      <c r="AA8" s="42" t="s">
        <v>148</v>
      </c>
      <c r="AB8" s="42" t="s">
        <v>148</v>
      </c>
      <c r="AC8" s="22" t="s">
        <v>55</v>
      </c>
      <c r="AD8" s="22" t="s">
        <v>55</v>
      </c>
      <c r="AE8" s="22" t="s">
        <v>118</v>
      </c>
      <c r="AF8" s="22" t="s">
        <v>75</v>
      </c>
      <c r="AG8" s="43" t="s">
        <v>149</v>
      </c>
      <c r="AH8" s="71">
        <f t="shared" si="0"/>
        <v>280</v>
      </c>
      <c r="AI8" s="72">
        <f t="shared" si="1"/>
        <v>46002</v>
      </c>
      <c r="AJ8" s="73">
        <f t="shared" ca="1" si="2"/>
        <v>0.59452054794520548</v>
      </c>
      <c r="AK8" s="34"/>
      <c r="AL8" s="49" t="s">
        <v>107</v>
      </c>
      <c r="AM8" s="22" t="s">
        <v>150</v>
      </c>
      <c r="AN8" s="22"/>
      <c r="AO8" s="22" t="s">
        <v>80</v>
      </c>
      <c r="AP8" s="22"/>
      <c r="AQ8" s="22"/>
    </row>
    <row r="9" spans="1:46" ht="24.75" customHeight="1" x14ac:dyDescent="0.35">
      <c r="A9" s="22">
        <v>2509</v>
      </c>
      <c r="B9" s="36">
        <v>45975.390266203707</v>
      </c>
      <c r="C9" s="36">
        <v>45975.394513888888</v>
      </c>
      <c r="D9" s="22" t="s">
        <v>41</v>
      </c>
      <c r="E9" s="22"/>
      <c r="F9" s="22" t="s">
        <v>151</v>
      </c>
      <c r="G9" s="37">
        <v>45985</v>
      </c>
      <c r="H9" s="34" t="s">
        <v>152</v>
      </c>
      <c r="I9" s="38" t="s">
        <v>45</v>
      </c>
      <c r="J9" s="38" t="s">
        <v>67</v>
      </c>
      <c r="K9" s="38" t="s">
        <v>67</v>
      </c>
      <c r="L9" s="38" t="s">
        <v>67</v>
      </c>
      <c r="M9" s="38" t="s">
        <v>153</v>
      </c>
      <c r="N9" s="22" t="s">
        <v>143</v>
      </c>
      <c r="O9" s="22" t="s">
        <v>128</v>
      </c>
      <c r="P9" s="37"/>
      <c r="Q9" s="39">
        <v>45807</v>
      </c>
      <c r="R9" s="45">
        <v>12</v>
      </c>
      <c r="S9" s="45">
        <v>2</v>
      </c>
      <c r="T9" s="34" t="s">
        <v>154</v>
      </c>
      <c r="U9" s="41"/>
      <c r="V9" s="16"/>
      <c r="W9" s="22" t="s">
        <v>155</v>
      </c>
      <c r="X9" s="42" t="s">
        <v>156</v>
      </c>
      <c r="Y9" s="38" t="s">
        <v>147</v>
      </c>
      <c r="Z9" s="22" t="s">
        <v>55</v>
      </c>
      <c r="AA9" s="42" t="s">
        <v>157</v>
      </c>
      <c r="AB9" s="42" t="s">
        <v>134</v>
      </c>
      <c r="AC9" s="22" t="s">
        <v>55</v>
      </c>
      <c r="AD9" s="22" t="s">
        <v>55</v>
      </c>
      <c r="AE9" s="22" t="s">
        <v>118</v>
      </c>
      <c r="AF9" s="22" t="s">
        <v>75</v>
      </c>
      <c r="AG9" s="43" t="s">
        <v>158</v>
      </c>
      <c r="AH9" s="71">
        <f t="shared" si="0"/>
        <v>280</v>
      </c>
      <c r="AI9" s="72">
        <f t="shared" si="1"/>
        <v>46001</v>
      </c>
      <c r="AJ9" s="73">
        <f t="shared" ca="1" si="2"/>
        <v>-8.21917808219178E-3</v>
      </c>
      <c r="AK9" s="34"/>
      <c r="AL9" s="49" t="s">
        <v>159</v>
      </c>
      <c r="AM9" s="22" t="s">
        <v>160</v>
      </c>
      <c r="AN9" s="22"/>
      <c r="AO9" s="22"/>
      <c r="AP9" s="22"/>
      <c r="AQ9" s="22"/>
    </row>
    <row r="10" spans="1:46" ht="24.75" customHeight="1" x14ac:dyDescent="0.35">
      <c r="A10" s="22">
        <v>2526</v>
      </c>
      <c r="B10" s="36">
        <v>45978.609178240738</v>
      </c>
      <c r="C10" s="36">
        <v>45978.611956018518</v>
      </c>
      <c r="D10" s="22" t="s">
        <v>41</v>
      </c>
      <c r="E10" s="22"/>
      <c r="F10" s="22" t="s">
        <v>161</v>
      </c>
      <c r="G10" s="37">
        <v>31215</v>
      </c>
      <c r="H10" s="34" t="s">
        <v>162</v>
      </c>
      <c r="I10" s="38" t="s">
        <v>45</v>
      </c>
      <c r="J10" s="38" t="s">
        <v>67</v>
      </c>
      <c r="K10" s="38" t="s">
        <v>67</v>
      </c>
      <c r="L10" s="38" t="s">
        <v>67</v>
      </c>
      <c r="M10" s="38" t="s">
        <v>163</v>
      </c>
      <c r="N10" s="22" t="s">
        <v>143</v>
      </c>
      <c r="O10" s="22" t="s">
        <v>48</v>
      </c>
      <c r="P10" s="37">
        <v>45718</v>
      </c>
      <c r="Q10" s="39">
        <v>45814</v>
      </c>
      <c r="R10" s="40" t="s">
        <v>164</v>
      </c>
      <c r="S10" s="40" t="s">
        <v>129</v>
      </c>
      <c r="T10" s="34" t="s">
        <v>165</v>
      </c>
      <c r="U10" s="41"/>
      <c r="V10" s="16"/>
      <c r="W10" s="22" t="s">
        <v>166</v>
      </c>
      <c r="X10" s="42" t="s">
        <v>167</v>
      </c>
      <c r="Y10" s="38" t="s">
        <v>168</v>
      </c>
      <c r="Z10" s="22" t="s">
        <v>55</v>
      </c>
      <c r="AA10" s="42" t="s">
        <v>169</v>
      </c>
      <c r="AB10" s="42" t="s">
        <v>170</v>
      </c>
      <c r="AC10" s="22" t="s">
        <v>55</v>
      </c>
      <c r="AD10" s="22" t="s">
        <v>55</v>
      </c>
      <c r="AE10" s="22" t="s">
        <v>118</v>
      </c>
      <c r="AF10" s="22" t="s">
        <v>171</v>
      </c>
      <c r="AG10" s="43" t="s">
        <v>172</v>
      </c>
      <c r="AH10" s="71">
        <f t="shared" si="0"/>
        <v>45998</v>
      </c>
      <c r="AI10" s="72">
        <f t="shared" si="1"/>
        <v>45998</v>
      </c>
      <c r="AJ10" s="73">
        <f t="shared" ca="1" si="2"/>
        <v>40.457534246575342</v>
      </c>
      <c r="AK10" s="34"/>
      <c r="AL10" s="22" t="s">
        <v>173</v>
      </c>
      <c r="AM10" s="74">
        <v>45977</v>
      </c>
      <c r="AN10" s="75" t="s">
        <v>174</v>
      </c>
      <c r="AO10" s="75">
        <v>-3</v>
      </c>
      <c r="AP10" s="75" t="s">
        <v>175</v>
      </c>
      <c r="AQ10" s="22"/>
    </row>
    <row r="11" spans="1:46" ht="24.75" customHeight="1" x14ac:dyDescent="0.35">
      <c r="A11" s="22">
        <v>2537</v>
      </c>
      <c r="B11" s="36">
        <v>45979.401655092603</v>
      </c>
      <c r="C11" s="36">
        <v>45979.404745370368</v>
      </c>
      <c r="D11" s="22" t="s">
        <v>41</v>
      </c>
      <c r="E11" s="22"/>
      <c r="F11" s="22" t="s">
        <v>176</v>
      </c>
      <c r="G11" s="37">
        <v>29948</v>
      </c>
      <c r="H11" s="34" t="s">
        <v>177</v>
      </c>
      <c r="I11" s="38" t="s">
        <v>111</v>
      </c>
      <c r="J11" s="38" t="s">
        <v>67</v>
      </c>
      <c r="K11" s="38" t="s">
        <v>67</v>
      </c>
      <c r="L11" s="38" t="s">
        <v>45</v>
      </c>
      <c r="M11" s="38" t="s">
        <v>178</v>
      </c>
      <c r="N11" s="22" t="s">
        <v>84</v>
      </c>
      <c r="O11" s="22" t="s">
        <v>48</v>
      </c>
      <c r="P11" s="37">
        <v>45732</v>
      </c>
      <c r="Q11" s="39">
        <v>45786</v>
      </c>
      <c r="R11" s="40" t="s">
        <v>85</v>
      </c>
      <c r="S11" s="40" t="s">
        <v>45</v>
      </c>
      <c r="T11" s="34" t="s">
        <v>179</v>
      </c>
      <c r="U11" s="41"/>
      <c r="V11" s="16"/>
      <c r="W11" s="22" t="s">
        <v>180</v>
      </c>
      <c r="X11" s="42" t="s">
        <v>71</v>
      </c>
      <c r="Y11" s="38" t="s">
        <v>181</v>
      </c>
      <c r="Z11" s="22" t="s">
        <v>55</v>
      </c>
      <c r="AA11" s="42" t="s">
        <v>56</v>
      </c>
      <c r="AB11" s="42" t="s">
        <v>182</v>
      </c>
      <c r="AC11" s="22" t="s">
        <v>55</v>
      </c>
      <c r="AD11" s="22" t="s">
        <v>55</v>
      </c>
      <c r="AE11" s="22" t="s">
        <v>118</v>
      </c>
      <c r="AF11" s="22" t="s">
        <v>183</v>
      </c>
      <c r="AG11" s="43" t="s">
        <v>184</v>
      </c>
      <c r="AH11" s="71">
        <f t="shared" si="0"/>
        <v>46012</v>
      </c>
      <c r="AI11" s="72">
        <f t="shared" si="1"/>
        <v>46009</v>
      </c>
      <c r="AJ11" s="73">
        <f t="shared" ca="1" si="2"/>
        <v>43.92876712328767</v>
      </c>
      <c r="AK11" s="34"/>
      <c r="AL11" s="22" t="s">
        <v>93</v>
      </c>
      <c r="AM11" s="74">
        <v>46012</v>
      </c>
      <c r="AN11" s="75" t="s">
        <v>94</v>
      </c>
      <c r="AO11" s="75">
        <v>32</v>
      </c>
      <c r="AP11" s="75" t="s">
        <v>185</v>
      </c>
      <c r="AQ11" s="22"/>
    </row>
    <row r="12" spans="1:46" s="58" customFormat="1" ht="24.75" customHeight="1" x14ac:dyDescent="0.35">
      <c r="A12" s="45">
        <v>2546</v>
      </c>
      <c r="B12" s="55"/>
      <c r="C12" s="55"/>
      <c r="D12" s="45"/>
      <c r="E12" s="45"/>
      <c r="F12" s="45" t="s">
        <v>186</v>
      </c>
      <c r="G12" s="39" t="s">
        <v>187</v>
      </c>
      <c r="H12" s="56" t="s">
        <v>188</v>
      </c>
      <c r="I12" s="45">
        <v>2</v>
      </c>
      <c r="J12" s="45">
        <v>0</v>
      </c>
      <c r="K12" s="45">
        <v>0</v>
      </c>
      <c r="L12" s="45">
        <v>1</v>
      </c>
      <c r="M12" s="45">
        <v>11947315241</v>
      </c>
      <c r="N12" s="22" t="s">
        <v>143</v>
      </c>
      <c r="O12" s="45"/>
      <c r="P12" s="39" t="s">
        <v>189</v>
      </c>
      <c r="Q12" s="39">
        <v>45905</v>
      </c>
      <c r="R12" s="45">
        <v>5</v>
      </c>
      <c r="S12" s="45">
        <v>6</v>
      </c>
      <c r="T12" s="56" t="s">
        <v>190</v>
      </c>
      <c r="U12" s="45"/>
      <c r="V12" s="57"/>
      <c r="W12" s="45"/>
      <c r="X12" s="56"/>
      <c r="Y12" s="45" t="s">
        <v>191</v>
      </c>
      <c r="Z12" s="45"/>
      <c r="AA12" s="45"/>
      <c r="AB12" s="56"/>
      <c r="AC12" s="45"/>
      <c r="AD12" s="45"/>
      <c r="AE12" s="45" t="s">
        <v>118</v>
      </c>
      <c r="AF12" s="45"/>
      <c r="AG12" s="45"/>
      <c r="AH12" s="71">
        <f t="shared" si="0"/>
        <v>46019</v>
      </c>
      <c r="AI12" s="72">
        <f t="shared" si="1"/>
        <v>46144</v>
      </c>
      <c r="AJ12" s="80">
        <v>26</v>
      </c>
      <c r="AK12" s="56"/>
      <c r="AL12" s="45" t="s">
        <v>192</v>
      </c>
      <c r="AM12" s="81">
        <v>46012</v>
      </c>
      <c r="AN12" s="82" t="s">
        <v>193</v>
      </c>
      <c r="AO12" s="82">
        <v>32</v>
      </c>
      <c r="AP12" s="82" t="s">
        <v>194</v>
      </c>
      <c r="AQ12" s="45"/>
    </row>
    <row r="13" spans="1:46" ht="24.75" customHeight="1" x14ac:dyDescent="0.35">
      <c r="A13" s="22">
        <v>2505</v>
      </c>
      <c r="B13" s="36">
        <v>45975.311238425929</v>
      </c>
      <c r="C13" s="36">
        <v>45975.315486111111</v>
      </c>
      <c r="D13" s="22" t="s">
        <v>41</v>
      </c>
      <c r="E13" s="22"/>
      <c r="F13" s="22" t="s">
        <v>195</v>
      </c>
      <c r="G13" s="37">
        <v>31904</v>
      </c>
      <c r="H13" s="34" t="s">
        <v>196</v>
      </c>
      <c r="I13" s="38" t="s">
        <v>45</v>
      </c>
      <c r="J13" s="38" t="s">
        <v>67</v>
      </c>
      <c r="K13" s="38" t="s">
        <v>67</v>
      </c>
      <c r="L13" s="38" t="s">
        <v>67</v>
      </c>
      <c r="M13" s="38" t="s">
        <v>197</v>
      </c>
      <c r="N13" s="22" t="s">
        <v>143</v>
      </c>
      <c r="O13" s="22" t="s">
        <v>48</v>
      </c>
      <c r="P13" s="37">
        <v>45757</v>
      </c>
      <c r="Q13" s="39">
        <v>45808</v>
      </c>
      <c r="R13" s="40" t="s">
        <v>198</v>
      </c>
      <c r="S13" s="40" t="s">
        <v>50</v>
      </c>
      <c r="T13" s="34" t="s">
        <v>199</v>
      </c>
      <c r="U13" s="41"/>
      <c r="V13" s="16"/>
      <c r="W13" s="22" t="s">
        <v>200</v>
      </c>
      <c r="X13" s="42" t="s">
        <v>201</v>
      </c>
      <c r="Y13" s="38" t="s">
        <v>202</v>
      </c>
      <c r="Z13" s="22" t="s">
        <v>55</v>
      </c>
      <c r="AA13" s="42" t="s">
        <v>202</v>
      </c>
      <c r="AB13" s="42" t="s">
        <v>202</v>
      </c>
      <c r="AC13" s="22" t="s">
        <v>55</v>
      </c>
      <c r="AD13" s="22" t="s">
        <v>55</v>
      </c>
      <c r="AE13" s="22" t="s">
        <v>203</v>
      </c>
      <c r="AF13" s="22" t="s">
        <v>204</v>
      </c>
      <c r="AG13" s="43" t="s">
        <v>205</v>
      </c>
      <c r="AH13" s="71">
        <f t="shared" si="0"/>
        <v>46037</v>
      </c>
      <c r="AI13" s="72">
        <f t="shared" si="1"/>
        <v>46033</v>
      </c>
      <c r="AJ13" s="73">
        <f t="shared" ref="AJ13:AJ43" ca="1" si="3">(TODAY()-G13)/365</f>
        <v>38.56986301369863</v>
      </c>
      <c r="AK13" s="34"/>
      <c r="AL13" s="22" t="s">
        <v>206</v>
      </c>
      <c r="AM13" s="74">
        <v>46009</v>
      </c>
      <c r="AN13" s="75" t="s">
        <v>207</v>
      </c>
      <c r="AO13" s="75">
        <v>29</v>
      </c>
      <c r="AP13" s="75" t="s">
        <v>208</v>
      </c>
      <c r="AQ13" s="22"/>
    </row>
    <row r="14" spans="1:46" ht="24.75" customHeight="1" x14ac:dyDescent="0.35">
      <c r="A14" s="22">
        <v>2508</v>
      </c>
      <c r="B14" s="36">
        <v>45975.388067129628</v>
      </c>
      <c r="C14" s="36">
        <v>45975.391979166663</v>
      </c>
      <c r="D14" s="22" t="s">
        <v>41</v>
      </c>
      <c r="E14" s="22"/>
      <c r="F14" s="22" t="s">
        <v>209</v>
      </c>
      <c r="G14" s="37">
        <v>37036</v>
      </c>
      <c r="H14" s="34" t="s">
        <v>210</v>
      </c>
      <c r="I14" s="38" t="s">
        <v>111</v>
      </c>
      <c r="J14" s="38" t="s">
        <v>67</v>
      </c>
      <c r="K14" s="38" t="s">
        <v>45</v>
      </c>
      <c r="L14" s="38" t="s">
        <v>67</v>
      </c>
      <c r="M14" s="38" t="s">
        <v>211</v>
      </c>
      <c r="N14" s="22" t="s">
        <v>143</v>
      </c>
      <c r="O14" s="22" t="s">
        <v>48</v>
      </c>
      <c r="P14" s="37">
        <v>45727</v>
      </c>
      <c r="Q14" s="39">
        <v>45771</v>
      </c>
      <c r="R14" s="40" t="s">
        <v>50</v>
      </c>
      <c r="S14" s="40" t="s">
        <v>129</v>
      </c>
      <c r="T14" s="34" t="s">
        <v>212</v>
      </c>
      <c r="U14" s="41"/>
      <c r="V14" s="16"/>
      <c r="W14" s="22" t="s">
        <v>213</v>
      </c>
      <c r="X14" s="42" t="s">
        <v>214</v>
      </c>
      <c r="Y14" s="38" t="s">
        <v>202</v>
      </c>
      <c r="Z14" s="22" t="s">
        <v>55</v>
      </c>
      <c r="AA14" s="42" t="s">
        <v>215</v>
      </c>
      <c r="AB14" s="42" t="s">
        <v>202</v>
      </c>
      <c r="AC14" s="22" t="s">
        <v>55</v>
      </c>
      <c r="AD14" s="22" t="s">
        <v>55</v>
      </c>
      <c r="AE14" s="22" t="s">
        <v>203</v>
      </c>
      <c r="AF14" s="22" t="s">
        <v>204</v>
      </c>
      <c r="AG14" s="43" t="s">
        <v>216</v>
      </c>
      <c r="AH14" s="71">
        <f t="shared" si="0"/>
        <v>46007</v>
      </c>
      <c r="AI14" s="72">
        <f t="shared" si="1"/>
        <v>46004</v>
      </c>
      <c r="AJ14" s="73">
        <f t="shared" ca="1" si="3"/>
        <v>24.509589041095889</v>
      </c>
      <c r="AK14" s="34"/>
      <c r="AL14" s="22" t="s">
        <v>217</v>
      </c>
      <c r="AM14" s="22" t="s">
        <v>218</v>
      </c>
      <c r="AN14" s="22"/>
      <c r="AO14" s="22"/>
      <c r="AP14" s="22"/>
      <c r="AQ14" s="22"/>
    </row>
    <row r="15" spans="1:46" s="11" customFormat="1" ht="24.75" customHeight="1" x14ac:dyDescent="0.35">
      <c r="A15" s="22">
        <v>2516</v>
      </c>
      <c r="B15" s="36">
        <v>45978.36482638889</v>
      </c>
      <c r="C15" s="36">
        <v>45978.368437500001</v>
      </c>
      <c r="D15" s="22" t="s">
        <v>41</v>
      </c>
      <c r="E15" s="22"/>
      <c r="F15" s="22" t="s">
        <v>219</v>
      </c>
      <c r="G15" s="37">
        <v>34301</v>
      </c>
      <c r="H15" s="34" t="s">
        <v>220</v>
      </c>
      <c r="I15" s="38" t="s">
        <v>66</v>
      </c>
      <c r="J15" s="38" t="s">
        <v>111</v>
      </c>
      <c r="K15" s="38" t="s">
        <v>67</v>
      </c>
      <c r="L15" s="38" t="s">
        <v>67</v>
      </c>
      <c r="M15" s="38" t="s">
        <v>221</v>
      </c>
      <c r="N15" s="22" t="s">
        <v>143</v>
      </c>
      <c r="O15" s="22" t="s">
        <v>48</v>
      </c>
      <c r="P15" s="37">
        <v>45743</v>
      </c>
      <c r="Q15" s="39">
        <v>45806</v>
      </c>
      <c r="R15" s="40" t="s">
        <v>85</v>
      </c>
      <c r="S15" s="40" t="s">
        <v>129</v>
      </c>
      <c r="T15" s="34" t="s">
        <v>222</v>
      </c>
      <c r="U15" s="41"/>
      <c r="V15" s="16"/>
      <c r="W15" s="22" t="s">
        <v>223</v>
      </c>
      <c r="X15" s="42" t="s">
        <v>224</v>
      </c>
      <c r="Y15" s="38" t="s">
        <v>225</v>
      </c>
      <c r="Z15" s="22" t="s">
        <v>55</v>
      </c>
      <c r="AA15" s="42" t="s">
        <v>56</v>
      </c>
      <c r="AB15" s="42" t="s">
        <v>226</v>
      </c>
      <c r="AC15" s="22" t="s">
        <v>55</v>
      </c>
      <c r="AD15" s="22" t="s">
        <v>55</v>
      </c>
      <c r="AE15" s="22" t="s">
        <v>203</v>
      </c>
      <c r="AF15" s="22" t="s">
        <v>59</v>
      </c>
      <c r="AG15" s="43" t="s">
        <v>227</v>
      </c>
      <c r="AH15" s="71">
        <f t="shared" si="0"/>
        <v>46023</v>
      </c>
      <c r="AI15" s="72">
        <f t="shared" si="1"/>
        <v>46025</v>
      </c>
      <c r="AJ15" s="73">
        <f t="shared" ca="1" si="3"/>
        <v>32.0027397260274</v>
      </c>
      <c r="AK15" s="34"/>
      <c r="AL15" s="50" t="s">
        <v>93</v>
      </c>
      <c r="AM15" s="74">
        <v>46023</v>
      </c>
      <c r="AN15" s="75" t="s">
        <v>94</v>
      </c>
      <c r="AO15" s="75">
        <v>43</v>
      </c>
      <c r="AP15" s="75" t="s">
        <v>228</v>
      </c>
      <c r="AQ15" s="50"/>
      <c r="AR15" s="62"/>
      <c r="AS15" s="62"/>
      <c r="AT15" s="62"/>
    </row>
    <row r="16" spans="1:46" s="11" customFormat="1" ht="24.75" customHeight="1" x14ac:dyDescent="0.35">
      <c r="A16" s="22">
        <v>2528</v>
      </c>
      <c r="B16" s="36">
        <v>45978.630162037043</v>
      </c>
      <c r="C16" s="36">
        <v>45978.633634259262</v>
      </c>
      <c r="D16" s="22" t="s">
        <v>41</v>
      </c>
      <c r="E16" s="22"/>
      <c r="F16" s="22" t="s">
        <v>229</v>
      </c>
      <c r="G16" s="37">
        <v>34964</v>
      </c>
      <c r="H16" s="34" t="s">
        <v>230</v>
      </c>
      <c r="I16" s="38" t="s">
        <v>45</v>
      </c>
      <c r="J16" s="38" t="s">
        <v>67</v>
      </c>
      <c r="K16" s="38" t="s">
        <v>67</v>
      </c>
      <c r="L16" s="38" t="s">
        <v>67</v>
      </c>
      <c r="M16" s="38" t="s">
        <v>231</v>
      </c>
      <c r="N16" s="22" t="s">
        <v>143</v>
      </c>
      <c r="O16" s="22" t="s">
        <v>128</v>
      </c>
      <c r="P16" s="37"/>
      <c r="Q16" s="39">
        <v>45775</v>
      </c>
      <c r="R16" s="40" t="s">
        <v>50</v>
      </c>
      <c r="S16" s="40" t="s">
        <v>129</v>
      </c>
      <c r="T16" s="34" t="s">
        <v>232</v>
      </c>
      <c r="U16" s="41"/>
      <c r="V16" s="16"/>
      <c r="W16" s="22" t="s">
        <v>233</v>
      </c>
      <c r="X16" s="42" t="s">
        <v>234</v>
      </c>
      <c r="Y16" s="38" t="s">
        <v>235</v>
      </c>
      <c r="Z16" s="22" t="s">
        <v>55</v>
      </c>
      <c r="AA16" s="42" t="s">
        <v>89</v>
      </c>
      <c r="AB16" s="42" t="s">
        <v>90</v>
      </c>
      <c r="AC16" s="22" t="s">
        <v>55</v>
      </c>
      <c r="AD16" s="22" t="s">
        <v>55</v>
      </c>
      <c r="AE16" s="22" t="s">
        <v>203</v>
      </c>
      <c r="AF16" s="22" t="s">
        <v>91</v>
      </c>
      <c r="AG16" s="43" t="s">
        <v>236</v>
      </c>
      <c r="AH16" s="71">
        <f t="shared" si="0"/>
        <v>280</v>
      </c>
      <c r="AI16" s="72">
        <f t="shared" si="1"/>
        <v>46008</v>
      </c>
      <c r="AJ16" s="73">
        <f t="shared" ca="1" si="3"/>
        <v>30.186301369863013</v>
      </c>
      <c r="AK16" s="34"/>
      <c r="AL16" s="50" t="s">
        <v>93</v>
      </c>
      <c r="AM16" s="74">
        <v>46013</v>
      </c>
      <c r="AN16" s="75" t="s">
        <v>94</v>
      </c>
      <c r="AO16" s="75">
        <v>33</v>
      </c>
      <c r="AP16" s="75" t="s">
        <v>237</v>
      </c>
      <c r="AQ16" s="50"/>
      <c r="AR16" s="62"/>
      <c r="AS16" s="62"/>
      <c r="AT16" s="62"/>
    </row>
    <row r="17" spans="1:46" s="11" customFormat="1" ht="24.75" customHeight="1" x14ac:dyDescent="0.35">
      <c r="A17" s="22">
        <v>2532</v>
      </c>
      <c r="B17" s="36">
        <v>45979.327534722222</v>
      </c>
      <c r="C17" s="36">
        <v>45979.334999999999</v>
      </c>
      <c r="D17" s="22" t="s">
        <v>41</v>
      </c>
      <c r="E17" s="22"/>
      <c r="F17" s="22" t="s">
        <v>238</v>
      </c>
      <c r="G17" s="37">
        <v>37874</v>
      </c>
      <c r="H17" s="34" t="s">
        <v>239</v>
      </c>
      <c r="I17" s="38" t="s">
        <v>45</v>
      </c>
      <c r="J17" s="38" t="s">
        <v>67</v>
      </c>
      <c r="K17" s="38" t="s">
        <v>67</v>
      </c>
      <c r="L17" s="38" t="s">
        <v>67</v>
      </c>
      <c r="M17" s="38" t="s">
        <v>240</v>
      </c>
      <c r="N17" s="22" t="s">
        <v>143</v>
      </c>
      <c r="O17" s="22" t="s">
        <v>48</v>
      </c>
      <c r="P17" s="37">
        <v>45734</v>
      </c>
      <c r="Q17" s="39">
        <v>45859</v>
      </c>
      <c r="R17" s="40" t="s">
        <v>241</v>
      </c>
      <c r="S17" s="40" t="s">
        <v>44</v>
      </c>
      <c r="T17" s="34" t="s">
        <v>242</v>
      </c>
      <c r="U17" s="41"/>
      <c r="V17" s="16"/>
      <c r="W17" s="22" t="s">
        <v>243</v>
      </c>
      <c r="X17" s="42" t="s">
        <v>244</v>
      </c>
      <c r="Y17" s="38" t="s">
        <v>245</v>
      </c>
      <c r="Z17" s="22" t="s">
        <v>55</v>
      </c>
      <c r="AA17" s="42" t="s">
        <v>246</v>
      </c>
      <c r="AB17" s="42" t="s">
        <v>247</v>
      </c>
      <c r="AC17" s="22" t="s">
        <v>55</v>
      </c>
      <c r="AD17" s="22" t="s">
        <v>55</v>
      </c>
      <c r="AE17" s="22" t="s">
        <v>203</v>
      </c>
      <c r="AF17" s="22" t="s">
        <v>248</v>
      </c>
      <c r="AG17" s="43" t="s">
        <v>249</v>
      </c>
      <c r="AH17" s="71">
        <f t="shared" si="0"/>
        <v>46014</v>
      </c>
      <c r="AI17" s="72">
        <f t="shared" si="1"/>
        <v>46009</v>
      </c>
      <c r="AJ17" s="73">
        <f t="shared" ca="1" si="3"/>
        <v>22.213698630136985</v>
      </c>
      <c r="AK17" s="34"/>
      <c r="AL17" s="50" t="s">
        <v>192</v>
      </c>
      <c r="AM17" s="74">
        <v>46007</v>
      </c>
      <c r="AN17" s="75" t="s">
        <v>193</v>
      </c>
      <c r="AO17" s="75">
        <v>27</v>
      </c>
      <c r="AP17" s="75" t="s">
        <v>250</v>
      </c>
      <c r="AQ17" s="50"/>
      <c r="AR17" s="62"/>
      <c r="AS17" s="62"/>
      <c r="AT17" s="62"/>
    </row>
    <row r="18" spans="1:46" s="11" customFormat="1" ht="24.75" customHeight="1" x14ac:dyDescent="0.35">
      <c r="A18" s="22">
        <v>2536</v>
      </c>
      <c r="B18" s="36">
        <v>45979.390844907408</v>
      </c>
      <c r="C18" s="36">
        <v>45979.393171296288</v>
      </c>
      <c r="D18" s="22" t="s">
        <v>41</v>
      </c>
      <c r="E18" s="22"/>
      <c r="F18" s="22" t="s">
        <v>251</v>
      </c>
      <c r="G18" s="37">
        <v>35446</v>
      </c>
      <c r="H18" s="34" t="s">
        <v>252</v>
      </c>
      <c r="I18" s="38" t="s">
        <v>111</v>
      </c>
      <c r="J18" s="38" t="s">
        <v>67</v>
      </c>
      <c r="K18" s="38" t="s">
        <v>45</v>
      </c>
      <c r="L18" s="38" t="s">
        <v>67</v>
      </c>
      <c r="M18" s="38" t="s">
        <v>253</v>
      </c>
      <c r="N18" s="22" t="s">
        <v>143</v>
      </c>
      <c r="O18" s="22" t="s">
        <v>48</v>
      </c>
      <c r="P18" s="37">
        <v>45729</v>
      </c>
      <c r="Q18" s="39">
        <v>45770</v>
      </c>
      <c r="R18" s="40" t="s">
        <v>129</v>
      </c>
      <c r="S18" s="40" t="s">
        <v>50</v>
      </c>
      <c r="T18" s="34" t="s">
        <v>254</v>
      </c>
      <c r="U18" s="41"/>
      <c r="V18" s="16"/>
      <c r="W18" s="22" t="s">
        <v>255</v>
      </c>
      <c r="X18" s="42" t="s">
        <v>256</v>
      </c>
      <c r="Y18" s="38" t="s">
        <v>257</v>
      </c>
      <c r="Z18" s="22" t="s">
        <v>55</v>
      </c>
      <c r="AA18" s="42" t="s">
        <v>258</v>
      </c>
      <c r="AB18" s="42" t="s">
        <v>259</v>
      </c>
      <c r="AC18" s="22" t="s">
        <v>55</v>
      </c>
      <c r="AD18" s="22" t="s">
        <v>55</v>
      </c>
      <c r="AE18" s="22" t="s">
        <v>203</v>
      </c>
      <c r="AF18" s="22" t="s">
        <v>260</v>
      </c>
      <c r="AG18" s="43" t="s">
        <v>261</v>
      </c>
      <c r="AH18" s="71">
        <f t="shared" si="0"/>
        <v>46009</v>
      </c>
      <c r="AI18" s="72">
        <f t="shared" si="1"/>
        <v>46009</v>
      </c>
      <c r="AJ18" s="73">
        <f t="shared" ca="1" si="3"/>
        <v>28.865753424657534</v>
      </c>
      <c r="AK18" s="34"/>
      <c r="AL18" s="50" t="s">
        <v>93</v>
      </c>
      <c r="AM18" s="74">
        <v>46009</v>
      </c>
      <c r="AN18" s="75" t="s">
        <v>94</v>
      </c>
      <c r="AO18" s="75">
        <v>29</v>
      </c>
      <c r="AP18" s="75" t="s">
        <v>262</v>
      </c>
      <c r="AQ18" s="50"/>
      <c r="AR18" s="62"/>
      <c r="AS18" s="62"/>
      <c r="AT18" s="62"/>
    </row>
    <row r="19" spans="1:46" s="11" customFormat="1" ht="24.75" customHeight="1" x14ac:dyDescent="0.35">
      <c r="A19" s="22">
        <v>2538</v>
      </c>
      <c r="B19" s="36">
        <v>45979.406585648147</v>
      </c>
      <c r="C19" s="36">
        <v>45979.411122685182</v>
      </c>
      <c r="D19" s="22" t="s">
        <v>41</v>
      </c>
      <c r="E19" s="22"/>
      <c r="F19" s="22" t="s">
        <v>263</v>
      </c>
      <c r="G19" s="37">
        <v>31637</v>
      </c>
      <c r="H19" s="34" t="s">
        <v>264</v>
      </c>
      <c r="I19" s="38" t="s">
        <v>111</v>
      </c>
      <c r="J19" s="38" t="s">
        <v>67</v>
      </c>
      <c r="K19" s="38" t="s">
        <v>45</v>
      </c>
      <c r="L19" s="38" t="s">
        <v>67</v>
      </c>
      <c r="M19" s="38" t="s">
        <v>265</v>
      </c>
      <c r="N19" s="22" t="s">
        <v>84</v>
      </c>
      <c r="O19" s="22" t="s">
        <v>128</v>
      </c>
      <c r="P19" s="37"/>
      <c r="Q19" s="39">
        <v>45790</v>
      </c>
      <c r="R19" s="40" t="s">
        <v>49</v>
      </c>
      <c r="S19" s="40" t="s">
        <v>45</v>
      </c>
      <c r="T19" s="34" t="s">
        <v>266</v>
      </c>
      <c r="U19" s="41"/>
      <c r="V19" s="16"/>
      <c r="W19" s="22" t="s">
        <v>267</v>
      </c>
      <c r="X19" s="42" t="s">
        <v>202</v>
      </c>
      <c r="Y19" s="38" t="s">
        <v>267</v>
      </c>
      <c r="Z19" s="22" t="s">
        <v>55</v>
      </c>
      <c r="AA19" s="42" t="s">
        <v>202</v>
      </c>
      <c r="AB19" s="42" t="s">
        <v>202</v>
      </c>
      <c r="AC19" s="22" t="s">
        <v>55</v>
      </c>
      <c r="AD19" s="22" t="s">
        <v>55</v>
      </c>
      <c r="AE19" s="22" t="s">
        <v>203</v>
      </c>
      <c r="AF19" s="22" t="s">
        <v>268</v>
      </c>
      <c r="AG19" s="43" t="s">
        <v>269</v>
      </c>
      <c r="AH19" s="76">
        <f t="shared" si="0"/>
        <v>280</v>
      </c>
      <c r="AI19" s="77">
        <f t="shared" si="1"/>
        <v>46006</v>
      </c>
      <c r="AJ19" s="73">
        <f t="shared" ca="1" si="3"/>
        <v>39.301369863013697</v>
      </c>
      <c r="AK19" s="34"/>
      <c r="AL19" s="64" t="s">
        <v>93</v>
      </c>
      <c r="AM19" s="83">
        <v>46007</v>
      </c>
      <c r="AN19" s="84" t="s">
        <v>94</v>
      </c>
      <c r="AO19" s="84">
        <v>27</v>
      </c>
      <c r="AP19" s="84" t="s">
        <v>270</v>
      </c>
      <c r="AQ19" s="64"/>
      <c r="AR19" s="62"/>
      <c r="AS19" s="62"/>
      <c r="AT19" s="62"/>
    </row>
    <row r="20" spans="1:46" s="11" customFormat="1" ht="24.75" customHeight="1" x14ac:dyDescent="0.35">
      <c r="A20" s="50">
        <v>2552</v>
      </c>
      <c r="B20" s="51">
        <v>45980.319131944438</v>
      </c>
      <c r="C20" s="51">
        <v>45980.323414351849</v>
      </c>
      <c r="D20" s="50" t="s">
        <v>41</v>
      </c>
      <c r="E20" s="50"/>
      <c r="F20" s="50" t="s">
        <v>271</v>
      </c>
      <c r="G20" s="52">
        <v>36434</v>
      </c>
      <c r="H20" s="17" t="s">
        <v>272</v>
      </c>
      <c r="I20" s="53" t="s">
        <v>45</v>
      </c>
      <c r="J20" s="53" t="s">
        <v>67</v>
      </c>
      <c r="K20" s="53" t="s">
        <v>67</v>
      </c>
      <c r="L20" s="53" t="s">
        <v>67</v>
      </c>
      <c r="M20" s="50" t="s">
        <v>273</v>
      </c>
      <c r="N20" s="50" t="s">
        <v>143</v>
      </c>
      <c r="O20" s="50" t="s">
        <v>48</v>
      </c>
      <c r="P20" s="52">
        <v>45730</v>
      </c>
      <c r="Q20" s="46">
        <v>45781</v>
      </c>
      <c r="R20" s="47" t="s">
        <v>198</v>
      </c>
      <c r="S20" s="47" t="s">
        <v>45</v>
      </c>
      <c r="T20" s="17" t="s">
        <v>274</v>
      </c>
      <c r="U20" s="54"/>
      <c r="V20" s="21"/>
      <c r="W20" s="50" t="s">
        <v>275</v>
      </c>
      <c r="X20" s="17" t="s">
        <v>276</v>
      </c>
      <c r="Y20" s="50" t="s">
        <v>277</v>
      </c>
      <c r="Z20" s="50" t="s">
        <v>55</v>
      </c>
      <c r="AA20" s="53" t="s">
        <v>57</v>
      </c>
      <c r="AB20" s="31" t="s">
        <v>57</v>
      </c>
      <c r="AC20" s="50" t="s">
        <v>55</v>
      </c>
      <c r="AD20" s="50" t="s">
        <v>55</v>
      </c>
      <c r="AE20" s="50" t="s">
        <v>58</v>
      </c>
      <c r="AF20" s="50" t="s">
        <v>59</v>
      </c>
      <c r="AG20" s="50" t="s">
        <v>278</v>
      </c>
      <c r="AH20" s="71">
        <f t="shared" si="0"/>
        <v>46010</v>
      </c>
      <c r="AI20" s="72">
        <f t="shared" si="1"/>
        <v>46011</v>
      </c>
      <c r="AJ20" s="73">
        <f t="shared" ca="1" si="3"/>
        <v>26.158904109589042</v>
      </c>
      <c r="AK20" s="65"/>
      <c r="AL20" s="66" t="s">
        <v>192</v>
      </c>
      <c r="AM20" s="67">
        <v>46006</v>
      </c>
      <c r="AN20" s="66" t="s">
        <v>279</v>
      </c>
      <c r="AO20" s="66">
        <v>26</v>
      </c>
      <c r="AP20" s="66" t="s">
        <v>280</v>
      </c>
      <c r="AQ20" s="66"/>
      <c r="AR20" s="68"/>
      <c r="AS20" s="68"/>
      <c r="AT20" s="68"/>
    </row>
    <row r="21" spans="1:46" s="11" customFormat="1" ht="24.75" customHeight="1" x14ac:dyDescent="0.35">
      <c r="A21" s="50">
        <v>2553</v>
      </c>
      <c r="B21" s="51">
        <v>45980.34648148148</v>
      </c>
      <c r="C21" s="51">
        <v>45980.349247685182</v>
      </c>
      <c r="D21" s="50" t="s">
        <v>41</v>
      </c>
      <c r="E21" s="50"/>
      <c r="F21" s="50" t="s">
        <v>281</v>
      </c>
      <c r="G21" s="52">
        <v>32210</v>
      </c>
      <c r="H21" s="17" t="s">
        <v>282</v>
      </c>
      <c r="I21" s="53" t="s">
        <v>111</v>
      </c>
      <c r="J21" s="53" t="s">
        <v>67</v>
      </c>
      <c r="K21" s="53" t="s">
        <v>45</v>
      </c>
      <c r="L21" s="53" t="s">
        <v>67</v>
      </c>
      <c r="M21" s="50" t="s">
        <v>283</v>
      </c>
      <c r="N21" s="50" t="s">
        <v>47</v>
      </c>
      <c r="O21" s="50" t="s">
        <v>48</v>
      </c>
      <c r="P21" s="52">
        <v>45726</v>
      </c>
      <c r="Q21" s="46">
        <v>45785</v>
      </c>
      <c r="R21" s="47" t="s">
        <v>49</v>
      </c>
      <c r="S21" s="47" t="s">
        <v>67</v>
      </c>
      <c r="T21" s="17" t="s">
        <v>284</v>
      </c>
      <c r="U21" s="54"/>
      <c r="V21" s="21"/>
      <c r="W21" s="50" t="s">
        <v>285</v>
      </c>
      <c r="X21" s="17" t="s">
        <v>286</v>
      </c>
      <c r="Y21" s="50" t="s">
        <v>287</v>
      </c>
      <c r="Z21" s="50" t="s">
        <v>55</v>
      </c>
      <c r="AA21" s="53" t="s">
        <v>202</v>
      </c>
      <c r="AB21" s="31" t="s">
        <v>202</v>
      </c>
      <c r="AC21" s="50" t="s">
        <v>55</v>
      </c>
      <c r="AD21" s="50" t="s">
        <v>55</v>
      </c>
      <c r="AE21" s="50" t="s">
        <v>288</v>
      </c>
      <c r="AF21" s="50" t="s">
        <v>289</v>
      </c>
      <c r="AG21" s="50" t="s">
        <v>290</v>
      </c>
      <c r="AH21" s="71">
        <f t="shared" si="0"/>
        <v>46006</v>
      </c>
      <c r="AI21" s="72">
        <f t="shared" si="1"/>
        <v>46002</v>
      </c>
      <c r="AJ21" s="73">
        <f t="shared" ca="1" si="3"/>
        <v>37.731506849315068</v>
      </c>
      <c r="AK21" s="17"/>
      <c r="AL21" s="66" t="s">
        <v>192</v>
      </c>
      <c r="AM21" s="67">
        <v>46001</v>
      </c>
      <c r="AN21" s="66" t="s">
        <v>291</v>
      </c>
      <c r="AO21" s="66">
        <v>21</v>
      </c>
      <c r="AP21" s="66" t="s">
        <v>292</v>
      </c>
      <c r="AQ21" s="66"/>
      <c r="AR21" s="68"/>
      <c r="AS21" s="68"/>
      <c r="AT21" s="68"/>
    </row>
    <row r="22" spans="1:46" s="11" customFormat="1" ht="24.75" customHeight="1" x14ac:dyDescent="0.35">
      <c r="A22" s="50">
        <v>2554</v>
      </c>
      <c r="B22" s="51">
        <v>45980.396377314813</v>
      </c>
      <c r="C22" s="51">
        <v>45980.399814814817</v>
      </c>
      <c r="D22" s="50" t="s">
        <v>41</v>
      </c>
      <c r="E22" s="50"/>
      <c r="F22" s="50" t="s">
        <v>293</v>
      </c>
      <c r="G22" s="52">
        <v>38583</v>
      </c>
      <c r="H22" s="17" t="s">
        <v>294</v>
      </c>
      <c r="I22" s="53" t="s">
        <v>45</v>
      </c>
      <c r="J22" s="53" t="s">
        <v>67</v>
      </c>
      <c r="K22" s="53" t="s">
        <v>67</v>
      </c>
      <c r="L22" s="53" t="s">
        <v>67</v>
      </c>
      <c r="M22" s="50" t="s">
        <v>295</v>
      </c>
      <c r="N22" s="50" t="s">
        <v>84</v>
      </c>
      <c r="O22" s="50" t="s">
        <v>48</v>
      </c>
      <c r="P22" s="52">
        <v>45733</v>
      </c>
      <c r="Q22" s="46">
        <v>45779</v>
      </c>
      <c r="R22" s="47" t="s">
        <v>50</v>
      </c>
      <c r="S22" s="47" t="s">
        <v>129</v>
      </c>
      <c r="T22" s="17" t="s">
        <v>296</v>
      </c>
      <c r="U22" s="54"/>
      <c r="V22" s="21"/>
      <c r="W22" s="50" t="s">
        <v>275</v>
      </c>
      <c r="X22" s="17" t="s">
        <v>297</v>
      </c>
      <c r="Y22" s="50" t="s">
        <v>72</v>
      </c>
      <c r="Z22" s="50" t="s">
        <v>55</v>
      </c>
      <c r="AA22" s="53" t="s">
        <v>169</v>
      </c>
      <c r="AB22" s="31" t="s">
        <v>169</v>
      </c>
      <c r="AC22" s="50" t="s">
        <v>55</v>
      </c>
      <c r="AD22" s="50" t="s">
        <v>55</v>
      </c>
      <c r="AE22" s="50" t="s">
        <v>118</v>
      </c>
      <c r="AF22" s="50" t="s">
        <v>298</v>
      </c>
      <c r="AG22" s="50" t="s">
        <v>299</v>
      </c>
      <c r="AH22" s="76">
        <f t="shared" si="0"/>
        <v>46013</v>
      </c>
      <c r="AI22" s="77">
        <f t="shared" si="1"/>
        <v>46012</v>
      </c>
      <c r="AJ22" s="73">
        <f t="shared" ca="1" si="3"/>
        <v>20.271232876712329</v>
      </c>
      <c r="AK22" s="17"/>
      <c r="AL22" s="66" t="s">
        <v>192</v>
      </c>
      <c r="AM22" s="67">
        <v>46008</v>
      </c>
      <c r="AN22" s="66" t="s">
        <v>193</v>
      </c>
      <c r="AO22" s="66">
        <v>28</v>
      </c>
      <c r="AP22" s="66" t="s">
        <v>300</v>
      </c>
      <c r="AQ22" s="66"/>
      <c r="AR22" s="68"/>
      <c r="AS22" s="68"/>
      <c r="AT22" s="68"/>
    </row>
    <row r="23" spans="1:46" s="11" customFormat="1" ht="24.75" customHeight="1" x14ac:dyDescent="0.35">
      <c r="A23" s="50">
        <v>2555</v>
      </c>
      <c r="B23" s="51">
        <v>45980.395462962973</v>
      </c>
      <c r="C23" s="51">
        <v>45980.402025462958</v>
      </c>
      <c r="D23" s="50" t="s">
        <v>41</v>
      </c>
      <c r="E23" s="50"/>
      <c r="F23" s="50" t="s">
        <v>301</v>
      </c>
      <c r="G23" s="52">
        <v>31062</v>
      </c>
      <c r="H23" s="17" t="s">
        <v>302</v>
      </c>
      <c r="I23" s="53" t="s">
        <v>111</v>
      </c>
      <c r="J23" s="53" t="s">
        <v>67</v>
      </c>
      <c r="K23" s="53" t="s">
        <v>67</v>
      </c>
      <c r="L23" s="53" t="s">
        <v>45</v>
      </c>
      <c r="M23" s="50" t="s">
        <v>303</v>
      </c>
      <c r="N23" s="50" t="s">
        <v>143</v>
      </c>
      <c r="O23" s="50" t="s">
        <v>48</v>
      </c>
      <c r="P23" s="52">
        <v>45736</v>
      </c>
      <c r="Q23" s="46">
        <v>45796</v>
      </c>
      <c r="R23" s="47" t="s">
        <v>85</v>
      </c>
      <c r="S23" s="47" t="s">
        <v>111</v>
      </c>
      <c r="T23" s="17" t="s">
        <v>304</v>
      </c>
      <c r="U23" s="54"/>
      <c r="V23" s="21"/>
      <c r="W23" s="50" t="s">
        <v>305</v>
      </c>
      <c r="X23" s="17" t="s">
        <v>306</v>
      </c>
      <c r="Y23" s="50" t="s">
        <v>307</v>
      </c>
      <c r="Z23" s="50" t="s">
        <v>55</v>
      </c>
      <c r="AA23" s="53" t="s">
        <v>57</v>
      </c>
      <c r="AB23" s="31" t="s">
        <v>57</v>
      </c>
      <c r="AC23" s="50" t="s">
        <v>55</v>
      </c>
      <c r="AD23" s="50" t="s">
        <v>55</v>
      </c>
      <c r="AE23" s="50" t="s">
        <v>58</v>
      </c>
      <c r="AF23" s="50" t="s">
        <v>59</v>
      </c>
      <c r="AG23" s="50" t="s">
        <v>308</v>
      </c>
      <c r="AH23" s="71">
        <f t="shared" si="0"/>
        <v>46016</v>
      </c>
      <c r="AI23" s="72">
        <f t="shared" si="1"/>
        <v>46018</v>
      </c>
      <c r="AJ23" s="73">
        <f t="shared" ca="1" si="3"/>
        <v>40.876712328767127</v>
      </c>
      <c r="AK23" s="17"/>
      <c r="AL23" s="66" t="s">
        <v>61</v>
      </c>
      <c r="AM23" s="67">
        <v>46006</v>
      </c>
      <c r="AN23" s="66" t="s">
        <v>309</v>
      </c>
      <c r="AO23" s="66">
        <v>26</v>
      </c>
      <c r="AP23" s="66" t="s">
        <v>310</v>
      </c>
      <c r="AQ23" s="66"/>
      <c r="AR23" s="68"/>
      <c r="AS23" s="68"/>
      <c r="AT23" s="68"/>
    </row>
    <row r="24" spans="1:46" s="11" customFormat="1" ht="24.75" customHeight="1" x14ac:dyDescent="0.35">
      <c r="A24" s="50">
        <v>2556</v>
      </c>
      <c r="B24" s="51">
        <v>45980.422743055547</v>
      </c>
      <c r="C24" s="51">
        <v>45980.425717592603</v>
      </c>
      <c r="D24" s="50" t="s">
        <v>41</v>
      </c>
      <c r="E24" s="50"/>
      <c r="F24" s="50" t="s">
        <v>311</v>
      </c>
      <c r="G24" s="52">
        <v>35634</v>
      </c>
      <c r="H24" s="17" t="s">
        <v>312</v>
      </c>
      <c r="I24" s="53" t="s">
        <v>45</v>
      </c>
      <c r="J24" s="53" t="s">
        <v>67</v>
      </c>
      <c r="K24" s="53" t="s">
        <v>67</v>
      </c>
      <c r="L24" s="53" t="s">
        <v>67</v>
      </c>
      <c r="M24" s="50" t="s">
        <v>313</v>
      </c>
      <c r="N24" s="50" t="s">
        <v>143</v>
      </c>
      <c r="O24" s="50" t="s">
        <v>48</v>
      </c>
      <c r="P24" s="52">
        <v>45717</v>
      </c>
      <c r="Q24" s="46">
        <v>45782</v>
      </c>
      <c r="R24" s="47" t="s">
        <v>49</v>
      </c>
      <c r="S24" s="47" t="s">
        <v>66</v>
      </c>
      <c r="T24" s="17" t="s">
        <v>314</v>
      </c>
      <c r="U24" s="54"/>
      <c r="V24" s="21"/>
      <c r="W24" s="50" t="s">
        <v>315</v>
      </c>
      <c r="X24" s="31" t="s">
        <v>57</v>
      </c>
      <c r="Y24" s="50" t="s">
        <v>316</v>
      </c>
      <c r="Z24" s="50" t="s">
        <v>55</v>
      </c>
      <c r="AA24" s="53" t="s">
        <v>57</v>
      </c>
      <c r="AB24" s="31" t="s">
        <v>57</v>
      </c>
      <c r="AC24" s="50" t="s">
        <v>55</v>
      </c>
      <c r="AD24" s="50" t="s">
        <v>55</v>
      </c>
      <c r="AE24" s="50" t="s">
        <v>288</v>
      </c>
      <c r="AF24" s="50" t="s">
        <v>59</v>
      </c>
      <c r="AG24" s="50" t="s">
        <v>317</v>
      </c>
      <c r="AH24" s="76">
        <f t="shared" si="0"/>
        <v>45997</v>
      </c>
      <c r="AI24" s="77">
        <f t="shared" si="1"/>
        <v>45996</v>
      </c>
      <c r="AJ24" s="73">
        <f t="shared" ca="1" si="3"/>
        <v>28.350684931506848</v>
      </c>
      <c r="AK24" s="17"/>
      <c r="AL24" s="66" t="s">
        <v>192</v>
      </c>
      <c r="AM24" s="67">
        <v>45993</v>
      </c>
      <c r="AN24" s="66" t="s">
        <v>291</v>
      </c>
      <c r="AO24" s="66">
        <v>13</v>
      </c>
      <c r="AP24" s="66" t="s">
        <v>318</v>
      </c>
      <c r="AQ24" s="66"/>
      <c r="AR24" s="68"/>
      <c r="AS24" s="68"/>
      <c r="AT24" s="68"/>
    </row>
    <row r="25" spans="1:46" s="11" customFormat="1" ht="24.75" customHeight="1" x14ac:dyDescent="0.35">
      <c r="A25" s="50">
        <v>2557</v>
      </c>
      <c r="B25" s="51">
        <v>45980.422951388893</v>
      </c>
      <c r="C25" s="51">
        <v>45980.428090277783</v>
      </c>
      <c r="D25" s="50" t="s">
        <v>41</v>
      </c>
      <c r="E25" s="50"/>
      <c r="F25" s="50" t="s">
        <v>319</v>
      </c>
      <c r="G25" s="52">
        <v>32936</v>
      </c>
      <c r="H25" s="17" t="s">
        <v>320</v>
      </c>
      <c r="I25" s="53" t="s">
        <v>66</v>
      </c>
      <c r="J25" s="53" t="s">
        <v>45</v>
      </c>
      <c r="K25" s="53" t="s">
        <v>45</v>
      </c>
      <c r="L25" s="53" t="s">
        <v>45</v>
      </c>
      <c r="M25" s="50" t="s">
        <v>321</v>
      </c>
      <c r="N25" s="50" t="s">
        <v>143</v>
      </c>
      <c r="O25" s="50" t="s">
        <v>48</v>
      </c>
      <c r="P25" s="52">
        <v>45725</v>
      </c>
      <c r="Q25" s="46">
        <v>45776</v>
      </c>
      <c r="R25" s="47" t="s">
        <v>198</v>
      </c>
      <c r="S25" s="47" t="s">
        <v>45</v>
      </c>
      <c r="T25" s="17" t="s">
        <v>322</v>
      </c>
      <c r="U25" s="54"/>
      <c r="V25" s="21"/>
      <c r="W25" s="50" t="s">
        <v>323</v>
      </c>
      <c r="X25" s="17" t="s">
        <v>324</v>
      </c>
      <c r="Y25" s="53" t="s">
        <v>226</v>
      </c>
      <c r="Z25" s="50" t="s">
        <v>55</v>
      </c>
      <c r="AA25" s="53" t="s">
        <v>226</v>
      </c>
      <c r="AB25" s="31" t="s">
        <v>325</v>
      </c>
      <c r="AC25" s="50" t="s">
        <v>55</v>
      </c>
      <c r="AD25" s="50" t="s">
        <v>55</v>
      </c>
      <c r="AE25" s="50" t="s">
        <v>288</v>
      </c>
      <c r="AF25" s="50" t="s">
        <v>326</v>
      </c>
      <c r="AG25" s="50" t="s">
        <v>327</v>
      </c>
      <c r="AH25" s="71">
        <f t="shared" si="0"/>
        <v>46005</v>
      </c>
      <c r="AI25" s="72">
        <f t="shared" si="1"/>
        <v>46006</v>
      </c>
      <c r="AJ25" s="73">
        <f t="shared" ca="1" si="3"/>
        <v>35.742465753424661</v>
      </c>
      <c r="AK25" s="17"/>
      <c r="AL25" s="66" t="s">
        <v>192</v>
      </c>
      <c r="AM25" s="67">
        <v>46000</v>
      </c>
      <c r="AN25" s="66" t="s">
        <v>193</v>
      </c>
      <c r="AO25" s="66">
        <v>20</v>
      </c>
      <c r="AP25" s="66" t="s">
        <v>328</v>
      </c>
      <c r="AQ25" s="66"/>
      <c r="AR25" s="68"/>
      <c r="AS25" s="68"/>
      <c r="AT25" s="68"/>
    </row>
    <row r="26" spans="1:46" s="11" customFormat="1" ht="24.75" customHeight="1" x14ac:dyDescent="0.35">
      <c r="A26" s="50">
        <v>2558</v>
      </c>
      <c r="B26" s="51">
        <v>45980.467997685177</v>
      </c>
      <c r="C26" s="51">
        <v>45980.471863425933</v>
      </c>
      <c r="D26" s="50" t="s">
        <v>41</v>
      </c>
      <c r="E26" s="50"/>
      <c r="F26" s="50" t="s">
        <v>329</v>
      </c>
      <c r="G26" s="52">
        <v>32259</v>
      </c>
      <c r="H26" s="17" t="s">
        <v>330</v>
      </c>
      <c r="I26" s="53" t="s">
        <v>111</v>
      </c>
      <c r="J26" s="53" t="s">
        <v>45</v>
      </c>
      <c r="K26" s="53" t="s">
        <v>67</v>
      </c>
      <c r="L26" s="53" t="s">
        <v>67</v>
      </c>
      <c r="M26" s="50" t="s">
        <v>331</v>
      </c>
      <c r="N26" s="50" t="s">
        <v>47</v>
      </c>
      <c r="O26" s="50" t="s">
        <v>48</v>
      </c>
      <c r="P26" s="52">
        <v>45736</v>
      </c>
      <c r="Q26" s="46">
        <v>45806</v>
      </c>
      <c r="R26" s="47" t="s">
        <v>332</v>
      </c>
      <c r="S26" s="47" t="s">
        <v>129</v>
      </c>
      <c r="T26" s="17" t="s">
        <v>333</v>
      </c>
      <c r="U26" s="54"/>
      <c r="V26" s="21"/>
      <c r="W26" s="50" t="s">
        <v>334</v>
      </c>
      <c r="X26" s="17" t="s">
        <v>335</v>
      </c>
      <c r="Y26" s="53" t="s">
        <v>336</v>
      </c>
      <c r="Z26" s="50" t="s">
        <v>55</v>
      </c>
      <c r="AA26" s="53" t="s">
        <v>202</v>
      </c>
      <c r="AB26" s="31" t="s">
        <v>337</v>
      </c>
      <c r="AC26" s="50" t="s">
        <v>55</v>
      </c>
      <c r="AD26" s="50" t="s">
        <v>55</v>
      </c>
      <c r="AE26" s="50" t="s">
        <v>118</v>
      </c>
      <c r="AF26" s="50" t="s">
        <v>338</v>
      </c>
      <c r="AG26" s="50" t="s">
        <v>339</v>
      </c>
      <c r="AH26" s="71">
        <f t="shared" si="0"/>
        <v>46016</v>
      </c>
      <c r="AI26" s="72">
        <f t="shared" si="1"/>
        <v>46011</v>
      </c>
      <c r="AJ26" s="73">
        <f t="shared" ca="1" si="3"/>
        <v>37.597260273972601</v>
      </c>
      <c r="AK26" s="17"/>
      <c r="AL26" s="66" t="s">
        <v>61</v>
      </c>
      <c r="AM26" s="67">
        <v>46006</v>
      </c>
      <c r="AN26" s="66" t="s">
        <v>309</v>
      </c>
      <c r="AO26" s="66">
        <v>26</v>
      </c>
      <c r="AP26" s="66" t="s">
        <v>340</v>
      </c>
      <c r="AQ26" s="66"/>
      <c r="AR26" s="68"/>
      <c r="AS26" s="68"/>
      <c r="AT26" s="68"/>
    </row>
    <row r="27" spans="1:46" s="11" customFormat="1" ht="24.75" customHeight="1" x14ac:dyDescent="0.35">
      <c r="A27" s="50">
        <v>2559</v>
      </c>
      <c r="B27" s="51">
        <v>45980.502974537027</v>
      </c>
      <c r="C27" s="51">
        <v>45980.507986111108</v>
      </c>
      <c r="D27" s="50" t="s">
        <v>41</v>
      </c>
      <c r="E27" s="50"/>
      <c r="F27" s="50" t="s">
        <v>341</v>
      </c>
      <c r="G27" s="52">
        <v>32503</v>
      </c>
      <c r="H27" s="17" t="s">
        <v>342</v>
      </c>
      <c r="I27" s="53" t="s">
        <v>111</v>
      </c>
      <c r="J27" s="53" t="s">
        <v>67</v>
      </c>
      <c r="K27" s="53" t="s">
        <v>45</v>
      </c>
      <c r="L27" s="53" t="s">
        <v>67</v>
      </c>
      <c r="M27" s="50" t="s">
        <v>343</v>
      </c>
      <c r="N27" s="50" t="s">
        <v>143</v>
      </c>
      <c r="O27" s="50" t="s">
        <v>48</v>
      </c>
      <c r="P27" s="52">
        <v>45726</v>
      </c>
      <c r="Q27" s="46">
        <v>45782</v>
      </c>
      <c r="R27" s="47" t="s">
        <v>85</v>
      </c>
      <c r="S27" s="47" t="s">
        <v>111</v>
      </c>
      <c r="T27" s="17" t="s">
        <v>344</v>
      </c>
      <c r="U27" s="54"/>
      <c r="V27" s="21"/>
      <c r="W27" s="50" t="s">
        <v>334</v>
      </c>
      <c r="X27" s="17" t="s">
        <v>345</v>
      </c>
      <c r="Y27" s="53" t="s">
        <v>346</v>
      </c>
      <c r="Z27" s="50" t="s">
        <v>55</v>
      </c>
      <c r="AA27" s="53" t="s">
        <v>347</v>
      </c>
      <c r="AB27" s="31" t="s">
        <v>202</v>
      </c>
      <c r="AC27" s="50" t="s">
        <v>55</v>
      </c>
      <c r="AD27" s="50" t="s">
        <v>55</v>
      </c>
      <c r="AE27" s="50" t="s">
        <v>118</v>
      </c>
      <c r="AF27" s="50" t="s">
        <v>338</v>
      </c>
      <c r="AG27" s="50" t="s">
        <v>348</v>
      </c>
      <c r="AH27" s="71">
        <f t="shared" si="0"/>
        <v>46006</v>
      </c>
      <c r="AI27" s="72">
        <f t="shared" si="1"/>
        <v>46004</v>
      </c>
      <c r="AJ27" s="73">
        <f t="shared" ca="1" si="3"/>
        <v>36.92876712328767</v>
      </c>
      <c r="AK27" s="17"/>
      <c r="AL27" s="66" t="s">
        <v>61</v>
      </c>
      <c r="AM27" s="67">
        <v>45994</v>
      </c>
      <c r="AN27" s="66" t="s">
        <v>62</v>
      </c>
      <c r="AO27" s="66">
        <v>14</v>
      </c>
      <c r="AP27" s="66" t="s">
        <v>349</v>
      </c>
      <c r="AQ27" s="66"/>
      <c r="AR27" s="68"/>
      <c r="AS27" s="68"/>
      <c r="AT27" s="68"/>
    </row>
    <row r="28" spans="1:46" s="11" customFormat="1" ht="24.75" customHeight="1" x14ac:dyDescent="0.35">
      <c r="A28" s="50">
        <v>2560</v>
      </c>
      <c r="B28" s="51">
        <v>45980.521157407413</v>
      </c>
      <c r="C28" s="51">
        <v>45980.528333333343</v>
      </c>
      <c r="D28" s="50" t="s">
        <v>41</v>
      </c>
      <c r="E28" s="50"/>
      <c r="F28" s="50" t="s">
        <v>350</v>
      </c>
      <c r="G28" s="52">
        <v>32259</v>
      </c>
      <c r="H28" s="17" t="s">
        <v>351</v>
      </c>
      <c r="I28" s="53" t="s">
        <v>111</v>
      </c>
      <c r="J28" s="53" t="s">
        <v>45</v>
      </c>
      <c r="K28" s="53" t="s">
        <v>67</v>
      </c>
      <c r="L28" s="53" t="s">
        <v>67</v>
      </c>
      <c r="M28" s="50" t="s">
        <v>352</v>
      </c>
      <c r="N28" s="50" t="s">
        <v>47</v>
      </c>
      <c r="O28" s="50" t="s">
        <v>128</v>
      </c>
      <c r="P28" s="52"/>
      <c r="Q28" s="46">
        <v>45806</v>
      </c>
      <c r="R28" s="47" t="s">
        <v>332</v>
      </c>
      <c r="S28" s="47" t="s">
        <v>129</v>
      </c>
      <c r="T28" s="17" t="s">
        <v>353</v>
      </c>
      <c r="U28" s="54"/>
      <c r="V28" s="21"/>
      <c r="W28" s="50" t="s">
        <v>334</v>
      </c>
      <c r="X28" s="17" t="s">
        <v>354</v>
      </c>
      <c r="Y28" s="53" t="s">
        <v>355</v>
      </c>
      <c r="Z28" s="50" t="s">
        <v>55</v>
      </c>
      <c r="AA28" s="53" t="s">
        <v>202</v>
      </c>
      <c r="AB28" s="31" t="s">
        <v>356</v>
      </c>
      <c r="AC28" s="50" t="s">
        <v>55</v>
      </c>
      <c r="AD28" s="50" t="s">
        <v>55</v>
      </c>
      <c r="AE28" s="50" t="s">
        <v>118</v>
      </c>
      <c r="AF28" s="50" t="s">
        <v>338</v>
      </c>
      <c r="AG28" s="50" t="s">
        <v>357</v>
      </c>
      <c r="AH28" s="71">
        <f t="shared" si="0"/>
        <v>280</v>
      </c>
      <c r="AI28" s="72">
        <f t="shared" si="1"/>
        <v>46011</v>
      </c>
      <c r="AJ28" s="73">
        <f t="shared" ca="1" si="3"/>
        <v>37.597260273972601</v>
      </c>
      <c r="AK28" s="17"/>
      <c r="AL28" s="66" t="s">
        <v>61</v>
      </c>
      <c r="AM28" s="67">
        <v>45992</v>
      </c>
      <c r="AN28" s="66" t="s">
        <v>62</v>
      </c>
      <c r="AO28" s="66">
        <v>12</v>
      </c>
      <c r="AP28" s="66" t="s">
        <v>340</v>
      </c>
      <c r="AQ28" s="66"/>
      <c r="AR28" s="68"/>
      <c r="AS28" s="68"/>
      <c r="AT28" s="68"/>
    </row>
    <row r="29" spans="1:46" s="11" customFormat="1" ht="24.75" customHeight="1" x14ac:dyDescent="0.35">
      <c r="A29" s="50">
        <v>2561</v>
      </c>
      <c r="B29" s="51">
        <v>45980.55128472222</v>
      </c>
      <c r="C29" s="51">
        <v>45980.553912037038</v>
      </c>
      <c r="D29" s="50" t="s">
        <v>41</v>
      </c>
      <c r="E29" s="50"/>
      <c r="F29" s="50" t="s">
        <v>358</v>
      </c>
      <c r="G29" s="52">
        <v>34916</v>
      </c>
      <c r="H29" s="17" t="s">
        <v>359</v>
      </c>
      <c r="I29" s="53" t="s">
        <v>45</v>
      </c>
      <c r="J29" s="53" t="s">
        <v>67</v>
      </c>
      <c r="K29" s="53" t="s">
        <v>67</v>
      </c>
      <c r="L29" s="53" t="s">
        <v>67</v>
      </c>
      <c r="M29" s="50" t="s">
        <v>360</v>
      </c>
      <c r="N29" s="50" t="s">
        <v>84</v>
      </c>
      <c r="O29" s="50" t="s">
        <v>48</v>
      </c>
      <c r="P29" s="52">
        <v>45733</v>
      </c>
      <c r="Q29" s="46">
        <v>45807</v>
      </c>
      <c r="R29" s="47" t="s">
        <v>332</v>
      </c>
      <c r="S29" s="47" t="s">
        <v>44</v>
      </c>
      <c r="T29" s="17" t="s">
        <v>361</v>
      </c>
      <c r="U29" s="54"/>
      <c r="V29" s="21"/>
      <c r="W29" s="50" t="s">
        <v>323</v>
      </c>
      <c r="X29" s="17" t="s">
        <v>362</v>
      </c>
      <c r="Y29" s="53" t="s">
        <v>363</v>
      </c>
      <c r="Z29" s="50" t="s">
        <v>55</v>
      </c>
      <c r="AA29" s="53" t="s">
        <v>364</v>
      </c>
      <c r="AB29" s="31" t="s">
        <v>365</v>
      </c>
      <c r="AC29" s="50" t="s">
        <v>55</v>
      </c>
      <c r="AD29" s="50" t="s">
        <v>55</v>
      </c>
      <c r="AE29" s="50" t="s">
        <v>203</v>
      </c>
      <c r="AF29" s="50" t="s">
        <v>298</v>
      </c>
      <c r="AG29" s="50" t="s">
        <v>366</v>
      </c>
      <c r="AH29" s="76">
        <f t="shared" si="0"/>
        <v>46013</v>
      </c>
      <c r="AI29" s="77">
        <f t="shared" si="1"/>
        <v>46013</v>
      </c>
      <c r="AJ29" s="73">
        <f t="shared" ca="1" si="3"/>
        <v>30.317808219178083</v>
      </c>
      <c r="AK29" s="17"/>
      <c r="AL29" s="66" t="s">
        <v>173</v>
      </c>
      <c r="AM29" s="67">
        <v>45994</v>
      </c>
      <c r="AN29" s="66" t="s">
        <v>367</v>
      </c>
      <c r="AO29" s="66">
        <v>14</v>
      </c>
      <c r="AP29" s="66" t="s">
        <v>368</v>
      </c>
      <c r="AQ29" s="66"/>
      <c r="AR29" s="68"/>
      <c r="AS29" s="68"/>
      <c r="AT29" s="68"/>
    </row>
    <row r="30" spans="1:46" s="11" customFormat="1" ht="24.75" customHeight="1" x14ac:dyDescent="0.35">
      <c r="A30" s="50">
        <v>2562</v>
      </c>
      <c r="B30" s="51">
        <v>45980.373888888891</v>
      </c>
      <c r="C30" s="51">
        <v>45980.555821759262</v>
      </c>
      <c r="D30" s="50" t="s">
        <v>41</v>
      </c>
      <c r="E30" s="50"/>
      <c r="F30" s="50" t="s">
        <v>369</v>
      </c>
      <c r="G30" s="52">
        <v>33792</v>
      </c>
      <c r="H30" s="17" t="s">
        <v>370</v>
      </c>
      <c r="I30" s="53" t="s">
        <v>45</v>
      </c>
      <c r="J30" s="53" t="s">
        <v>67</v>
      </c>
      <c r="K30" s="53" t="s">
        <v>67</v>
      </c>
      <c r="L30" s="53" t="s">
        <v>67</v>
      </c>
      <c r="M30" s="50" t="s">
        <v>371</v>
      </c>
      <c r="N30" s="50" t="s">
        <v>47</v>
      </c>
      <c r="O30" s="50" t="s">
        <v>128</v>
      </c>
      <c r="P30" s="52"/>
      <c r="Q30" s="46">
        <v>45830</v>
      </c>
      <c r="R30" s="47" t="s">
        <v>164</v>
      </c>
      <c r="S30" s="47" t="s">
        <v>45</v>
      </c>
      <c r="T30" s="17" t="s">
        <v>372</v>
      </c>
      <c r="U30" s="54"/>
      <c r="V30" s="21"/>
      <c r="W30" s="50" t="s">
        <v>373</v>
      </c>
      <c r="X30" s="17" t="s">
        <v>374</v>
      </c>
      <c r="Y30" s="53" t="s">
        <v>375</v>
      </c>
      <c r="Z30" s="50" t="s">
        <v>55</v>
      </c>
      <c r="AA30" s="53" t="s">
        <v>376</v>
      </c>
      <c r="AB30" s="31" t="s">
        <v>202</v>
      </c>
      <c r="AC30" s="50" t="s">
        <v>55</v>
      </c>
      <c r="AD30" s="50" t="s">
        <v>377</v>
      </c>
      <c r="AE30" s="50" t="s">
        <v>58</v>
      </c>
      <c r="AF30" s="50" t="s">
        <v>378</v>
      </c>
      <c r="AG30" s="50" t="s">
        <v>379</v>
      </c>
      <c r="AH30" s="76">
        <f t="shared" si="0"/>
        <v>280</v>
      </c>
      <c r="AI30" s="77">
        <f t="shared" si="1"/>
        <v>46018</v>
      </c>
      <c r="AJ30" s="73">
        <f t="shared" ca="1" si="3"/>
        <v>33.397260273972606</v>
      </c>
      <c r="AK30" s="17"/>
      <c r="AL30" s="66" t="s">
        <v>173</v>
      </c>
      <c r="AM30" s="67">
        <v>45996</v>
      </c>
      <c r="AN30" s="66" t="s">
        <v>174</v>
      </c>
      <c r="AO30" s="66">
        <v>16</v>
      </c>
      <c r="AP30" s="66" t="s">
        <v>380</v>
      </c>
      <c r="AQ30" s="66"/>
      <c r="AR30" s="68"/>
      <c r="AS30" s="68"/>
      <c r="AT30" s="68"/>
    </row>
    <row r="31" spans="1:46" s="11" customFormat="1" ht="24.75" customHeight="1" x14ac:dyDescent="0.35">
      <c r="A31" s="50">
        <v>2563</v>
      </c>
      <c r="B31" s="51">
        <v>45980.571284722217</v>
      </c>
      <c r="C31" s="51">
        <v>45980.573437500003</v>
      </c>
      <c r="D31" s="50" t="s">
        <v>41</v>
      </c>
      <c r="E31" s="50"/>
      <c r="F31" s="50" t="s">
        <v>381</v>
      </c>
      <c r="G31" s="52">
        <v>38386</v>
      </c>
      <c r="H31" s="17" t="s">
        <v>382</v>
      </c>
      <c r="I31" s="53" t="s">
        <v>45</v>
      </c>
      <c r="J31" s="53" t="s">
        <v>67</v>
      </c>
      <c r="K31" s="53" t="s">
        <v>67</v>
      </c>
      <c r="L31" s="53" t="s">
        <v>67</v>
      </c>
      <c r="M31" s="50" t="s">
        <v>383</v>
      </c>
      <c r="N31" s="50" t="s">
        <v>384</v>
      </c>
      <c r="O31" s="50" t="s">
        <v>48</v>
      </c>
      <c r="P31" s="52">
        <v>45722</v>
      </c>
      <c r="Q31" s="46">
        <v>45766</v>
      </c>
      <c r="R31" s="47" t="s">
        <v>50</v>
      </c>
      <c r="S31" s="47" t="s">
        <v>45</v>
      </c>
      <c r="T31" s="17" t="s">
        <v>385</v>
      </c>
      <c r="U31" s="54"/>
      <c r="V31" s="21"/>
      <c r="W31" s="50" t="s">
        <v>386</v>
      </c>
      <c r="X31" s="31" t="s">
        <v>226</v>
      </c>
      <c r="Y31" s="53" t="s">
        <v>226</v>
      </c>
      <c r="Z31" s="50" t="s">
        <v>55</v>
      </c>
      <c r="AA31" s="53" t="s">
        <v>226</v>
      </c>
      <c r="AB31" s="31" t="s">
        <v>287</v>
      </c>
      <c r="AC31" s="50" t="s">
        <v>55</v>
      </c>
      <c r="AD31" s="50" t="s">
        <v>55</v>
      </c>
      <c r="AE31" s="50" t="s">
        <v>288</v>
      </c>
      <c r="AF31" s="50" t="s">
        <v>387</v>
      </c>
      <c r="AG31" s="50" t="s">
        <v>388</v>
      </c>
      <c r="AH31" s="76">
        <f t="shared" si="0"/>
        <v>46002</v>
      </c>
      <c r="AI31" s="77">
        <f t="shared" si="1"/>
        <v>46003</v>
      </c>
      <c r="AJ31" s="73">
        <f t="shared" ca="1" si="3"/>
        <v>20.81095890410959</v>
      </c>
      <c r="AK31" s="17"/>
      <c r="AL31" s="66" t="s">
        <v>192</v>
      </c>
      <c r="AM31" s="67">
        <v>45999</v>
      </c>
      <c r="AN31" s="66" t="s">
        <v>279</v>
      </c>
      <c r="AO31" s="66">
        <v>19</v>
      </c>
      <c r="AP31" s="66" t="s">
        <v>389</v>
      </c>
      <c r="AQ31" s="66"/>
      <c r="AR31" s="68"/>
      <c r="AS31" s="68"/>
      <c r="AT31" s="68"/>
    </row>
    <row r="32" spans="1:46" s="11" customFormat="1" ht="24.75" customHeight="1" x14ac:dyDescent="0.35">
      <c r="A32" s="50">
        <v>2564</v>
      </c>
      <c r="B32" s="51">
        <v>45980.602037037039</v>
      </c>
      <c r="C32" s="51">
        <v>45980.604861111111</v>
      </c>
      <c r="D32" s="50" t="s">
        <v>41</v>
      </c>
      <c r="E32" s="50"/>
      <c r="F32" s="50" t="s">
        <v>390</v>
      </c>
      <c r="G32" s="52">
        <v>35543</v>
      </c>
      <c r="H32" s="17" t="s">
        <v>391</v>
      </c>
      <c r="I32" s="53" t="s">
        <v>45</v>
      </c>
      <c r="J32" s="53" t="s">
        <v>67</v>
      </c>
      <c r="K32" s="53" t="s">
        <v>67</v>
      </c>
      <c r="L32" s="53" t="s">
        <v>67</v>
      </c>
      <c r="M32" s="50" t="s">
        <v>392</v>
      </c>
      <c r="N32" s="50" t="s">
        <v>143</v>
      </c>
      <c r="O32" s="50" t="s">
        <v>48</v>
      </c>
      <c r="P32" s="52">
        <v>45726</v>
      </c>
      <c r="Q32" s="46">
        <v>45808</v>
      </c>
      <c r="R32" s="47" t="s">
        <v>393</v>
      </c>
      <c r="S32" s="47" t="s">
        <v>67</v>
      </c>
      <c r="T32" s="17" t="s">
        <v>394</v>
      </c>
      <c r="U32" s="54"/>
      <c r="V32" s="21"/>
      <c r="W32" s="50" t="s">
        <v>323</v>
      </c>
      <c r="X32" s="17" t="s">
        <v>395</v>
      </c>
      <c r="Y32" s="53" t="s">
        <v>365</v>
      </c>
      <c r="Z32" s="50" t="s">
        <v>55</v>
      </c>
      <c r="AA32" s="53" t="s">
        <v>365</v>
      </c>
      <c r="AB32" s="31" t="s">
        <v>396</v>
      </c>
      <c r="AC32" s="50" t="s">
        <v>55</v>
      </c>
      <c r="AD32" s="50" t="s">
        <v>55</v>
      </c>
      <c r="AE32" s="50" t="s">
        <v>203</v>
      </c>
      <c r="AF32" s="50" t="s">
        <v>298</v>
      </c>
      <c r="AG32" s="50" t="s">
        <v>397</v>
      </c>
      <c r="AH32" s="76">
        <f t="shared" si="0"/>
        <v>46006</v>
      </c>
      <c r="AI32" s="77">
        <f t="shared" si="1"/>
        <v>46004</v>
      </c>
      <c r="AJ32" s="73">
        <f t="shared" ca="1" si="3"/>
        <v>28.6</v>
      </c>
      <c r="AK32" s="17"/>
      <c r="AL32" s="66" t="s">
        <v>192</v>
      </c>
      <c r="AM32" s="67">
        <v>46001</v>
      </c>
      <c r="AN32" s="66" t="s">
        <v>398</v>
      </c>
      <c r="AO32" s="66">
        <v>21</v>
      </c>
      <c r="AP32" s="66" t="s">
        <v>399</v>
      </c>
      <c r="AQ32" s="66"/>
      <c r="AR32" s="68"/>
      <c r="AS32" s="68"/>
      <c r="AT32" s="68"/>
    </row>
    <row r="33" spans="1:46" s="11" customFormat="1" ht="24.75" customHeight="1" x14ac:dyDescent="0.35">
      <c r="A33" s="50">
        <v>2565</v>
      </c>
      <c r="B33" s="51">
        <v>45980.61314814815</v>
      </c>
      <c r="C33" s="51">
        <v>45980.622453703712</v>
      </c>
      <c r="D33" s="50" t="s">
        <v>41</v>
      </c>
      <c r="E33" s="50"/>
      <c r="F33" s="50" t="s">
        <v>400</v>
      </c>
      <c r="G33" s="52">
        <v>32057</v>
      </c>
      <c r="H33" s="17" t="s">
        <v>401</v>
      </c>
      <c r="I33" s="53" t="s">
        <v>45</v>
      </c>
      <c r="J33" s="53" t="s">
        <v>67</v>
      </c>
      <c r="K33" s="53" t="s">
        <v>67</v>
      </c>
      <c r="L33" s="53" t="s">
        <v>67</v>
      </c>
      <c r="M33" s="50" t="s">
        <v>402</v>
      </c>
      <c r="N33" s="50" t="s">
        <v>143</v>
      </c>
      <c r="O33" s="50" t="s">
        <v>48</v>
      </c>
      <c r="P33" s="52">
        <v>45755</v>
      </c>
      <c r="Q33" s="46">
        <v>45799</v>
      </c>
      <c r="R33" s="47" t="s">
        <v>50</v>
      </c>
      <c r="S33" s="47" t="s">
        <v>44</v>
      </c>
      <c r="T33" s="17" t="s">
        <v>403</v>
      </c>
      <c r="U33" s="54"/>
      <c r="V33" s="21"/>
      <c r="W33" s="50" t="s">
        <v>404</v>
      </c>
      <c r="X33" s="17" t="s">
        <v>405</v>
      </c>
      <c r="Y33" s="53" t="s">
        <v>406</v>
      </c>
      <c r="Z33" s="50" t="s">
        <v>55</v>
      </c>
      <c r="AA33" s="53" t="s">
        <v>202</v>
      </c>
      <c r="AB33" s="31" t="s">
        <v>202</v>
      </c>
      <c r="AC33" s="50" t="s">
        <v>55</v>
      </c>
      <c r="AD33" s="50" t="s">
        <v>377</v>
      </c>
      <c r="AE33" s="50" t="s">
        <v>203</v>
      </c>
      <c r="AF33" s="50" t="s">
        <v>378</v>
      </c>
      <c r="AG33" s="50" t="s">
        <v>407</v>
      </c>
      <c r="AH33" s="76">
        <f t="shared" si="0"/>
        <v>46035</v>
      </c>
      <c r="AI33" s="77">
        <f t="shared" si="1"/>
        <v>46033</v>
      </c>
      <c r="AJ33" s="73">
        <f t="shared" ca="1" si="3"/>
        <v>38.150684931506852</v>
      </c>
      <c r="AK33" s="17"/>
      <c r="AL33" s="66" t="s">
        <v>192</v>
      </c>
      <c r="AM33" s="67">
        <v>46007</v>
      </c>
      <c r="AN33" s="66" t="s">
        <v>193</v>
      </c>
      <c r="AO33" s="66">
        <v>27</v>
      </c>
      <c r="AP33" s="66" t="s">
        <v>399</v>
      </c>
      <c r="AQ33" s="66"/>
      <c r="AR33" s="68"/>
      <c r="AS33" s="68"/>
      <c r="AT33" s="68"/>
    </row>
    <row r="34" spans="1:46" s="11" customFormat="1" ht="24.75" customHeight="1" x14ac:dyDescent="0.35">
      <c r="A34" s="50">
        <v>2566</v>
      </c>
      <c r="B34" s="51">
        <v>45980.643761574072</v>
      </c>
      <c r="C34" s="51">
        <v>45980.646863425929</v>
      </c>
      <c r="D34" s="50" t="s">
        <v>41</v>
      </c>
      <c r="E34" s="50"/>
      <c r="F34" s="50" t="s">
        <v>408</v>
      </c>
      <c r="G34" s="52">
        <v>36617</v>
      </c>
      <c r="H34" s="17" t="s">
        <v>409</v>
      </c>
      <c r="I34" s="53" t="s">
        <v>111</v>
      </c>
      <c r="J34" s="53" t="s">
        <v>67</v>
      </c>
      <c r="K34" s="53" t="s">
        <v>67</v>
      </c>
      <c r="L34" s="53" t="s">
        <v>45</v>
      </c>
      <c r="M34" s="50" t="s">
        <v>410</v>
      </c>
      <c r="N34" s="50" t="s">
        <v>84</v>
      </c>
      <c r="O34" s="50" t="s">
        <v>48</v>
      </c>
      <c r="P34" s="52">
        <v>45731</v>
      </c>
      <c r="Q34" s="46">
        <v>45787</v>
      </c>
      <c r="R34" s="47" t="s">
        <v>198</v>
      </c>
      <c r="S34" s="47" t="s">
        <v>129</v>
      </c>
      <c r="T34" s="17" t="s">
        <v>411</v>
      </c>
      <c r="U34" s="54"/>
      <c r="V34" s="21"/>
      <c r="W34" s="50" t="s">
        <v>323</v>
      </c>
      <c r="X34" s="17" t="s">
        <v>412</v>
      </c>
      <c r="Y34" s="53" t="s">
        <v>413</v>
      </c>
      <c r="Z34" s="50" t="s">
        <v>55</v>
      </c>
      <c r="AA34" s="53" t="s">
        <v>365</v>
      </c>
      <c r="AB34" s="31" t="s">
        <v>414</v>
      </c>
      <c r="AC34" s="50" t="s">
        <v>55</v>
      </c>
      <c r="AD34" s="50" t="s">
        <v>55</v>
      </c>
      <c r="AE34" s="50" t="s">
        <v>288</v>
      </c>
      <c r="AF34" s="50" t="s">
        <v>298</v>
      </c>
      <c r="AG34" s="50" t="s">
        <v>415</v>
      </c>
      <c r="AH34" s="71">
        <f t="shared" si="0"/>
        <v>46011</v>
      </c>
      <c r="AI34" s="72">
        <f t="shared" si="1"/>
        <v>46013</v>
      </c>
      <c r="AJ34" s="73">
        <f t="shared" ca="1" si="3"/>
        <v>25.657534246575342</v>
      </c>
      <c r="AK34" s="17"/>
      <c r="AL34" s="69" t="s">
        <v>192</v>
      </c>
      <c r="AM34" s="67">
        <v>46006</v>
      </c>
      <c r="AN34" s="69" t="s">
        <v>398</v>
      </c>
      <c r="AO34" s="69">
        <v>26</v>
      </c>
      <c r="AP34" s="68" t="s">
        <v>416</v>
      </c>
      <c r="AQ34" s="68"/>
    </row>
    <row r="35" spans="1:46" s="11" customFormat="1" ht="24.75" customHeight="1" x14ac:dyDescent="0.35">
      <c r="A35" s="50">
        <v>2567</v>
      </c>
      <c r="B35" s="51">
        <v>45980.639490740738</v>
      </c>
      <c r="C35" s="51">
        <v>45980.65828703704</v>
      </c>
      <c r="D35" s="50" t="s">
        <v>41</v>
      </c>
      <c r="E35" s="50"/>
      <c r="F35" s="50" t="s">
        <v>417</v>
      </c>
      <c r="G35" s="52">
        <v>30804</v>
      </c>
      <c r="H35" s="17" t="s">
        <v>418</v>
      </c>
      <c r="I35" s="53" t="s">
        <v>66</v>
      </c>
      <c r="J35" s="53" t="s">
        <v>111</v>
      </c>
      <c r="K35" s="53" t="s">
        <v>67</v>
      </c>
      <c r="L35" s="53" t="s">
        <v>67</v>
      </c>
      <c r="M35" s="50" t="s">
        <v>419</v>
      </c>
      <c r="N35" s="50" t="s">
        <v>143</v>
      </c>
      <c r="O35" s="50" t="s">
        <v>128</v>
      </c>
      <c r="P35" s="52"/>
      <c r="Q35" s="46">
        <v>45790</v>
      </c>
      <c r="R35" s="47" t="s">
        <v>85</v>
      </c>
      <c r="S35" s="47" t="s">
        <v>111</v>
      </c>
      <c r="T35" s="17" t="s">
        <v>420</v>
      </c>
      <c r="U35" s="54"/>
      <c r="V35" s="21"/>
      <c r="W35" s="50" t="s">
        <v>421</v>
      </c>
      <c r="X35" s="17" t="s">
        <v>422</v>
      </c>
      <c r="Y35" s="53" t="s">
        <v>423</v>
      </c>
      <c r="Z35" s="50" t="s">
        <v>55</v>
      </c>
      <c r="AA35" s="53" t="s">
        <v>424</v>
      </c>
      <c r="AB35" s="31" t="s">
        <v>425</v>
      </c>
      <c r="AC35" s="50" t="s">
        <v>55</v>
      </c>
      <c r="AD35" s="50" t="s">
        <v>55</v>
      </c>
      <c r="AE35" s="50" t="s">
        <v>58</v>
      </c>
      <c r="AF35" s="50" t="s">
        <v>105</v>
      </c>
      <c r="AG35" s="50" t="s">
        <v>426</v>
      </c>
      <c r="AH35" s="71">
        <f t="shared" si="0"/>
        <v>280</v>
      </c>
      <c r="AI35" s="72">
        <f t="shared" si="1"/>
        <v>46012</v>
      </c>
      <c r="AJ35" s="73">
        <f t="shared" ca="1" si="3"/>
        <v>41.583561643835615</v>
      </c>
      <c r="AK35" s="17"/>
      <c r="AL35" s="69" t="s">
        <v>173</v>
      </c>
      <c r="AM35" s="67">
        <v>45992</v>
      </c>
      <c r="AN35" s="69" t="s">
        <v>367</v>
      </c>
      <c r="AO35" s="69">
        <v>12</v>
      </c>
      <c r="AP35" s="68" t="s">
        <v>427</v>
      </c>
      <c r="AQ35" s="68"/>
    </row>
    <row r="36" spans="1:46" s="11" customFormat="1" ht="24.75" customHeight="1" x14ac:dyDescent="0.35">
      <c r="A36" s="50">
        <v>2568</v>
      </c>
      <c r="B36" s="51">
        <v>45980.680717592593</v>
      </c>
      <c r="C36" s="51">
        <v>45980.68482638889</v>
      </c>
      <c r="D36" s="50" t="s">
        <v>41</v>
      </c>
      <c r="E36" s="50"/>
      <c r="F36" s="50" t="s">
        <v>428</v>
      </c>
      <c r="G36" s="52">
        <v>31863</v>
      </c>
      <c r="H36" s="17" t="s">
        <v>429</v>
      </c>
      <c r="I36" s="53" t="s">
        <v>111</v>
      </c>
      <c r="J36" s="53" t="s">
        <v>67</v>
      </c>
      <c r="K36" s="53" t="s">
        <v>45</v>
      </c>
      <c r="L36" s="53" t="s">
        <v>67</v>
      </c>
      <c r="M36" s="50" t="s">
        <v>430</v>
      </c>
      <c r="N36" s="50" t="s">
        <v>143</v>
      </c>
      <c r="O36" s="50" t="s">
        <v>128</v>
      </c>
      <c r="P36" s="52"/>
      <c r="Q36" s="46">
        <v>45826</v>
      </c>
      <c r="R36" s="47" t="s">
        <v>393</v>
      </c>
      <c r="S36" s="47" t="s">
        <v>67</v>
      </c>
      <c r="T36" s="17" t="s">
        <v>431</v>
      </c>
      <c r="U36" s="54"/>
      <c r="V36" s="21"/>
      <c r="W36" s="50" t="s">
        <v>432</v>
      </c>
      <c r="X36" s="17" t="s">
        <v>433</v>
      </c>
      <c r="Y36" s="53" t="s">
        <v>434</v>
      </c>
      <c r="Z36" s="50" t="s">
        <v>55</v>
      </c>
      <c r="AA36" s="53" t="s">
        <v>435</v>
      </c>
      <c r="AB36" s="31" t="s">
        <v>72</v>
      </c>
      <c r="AC36" s="50" t="s">
        <v>55</v>
      </c>
      <c r="AD36" s="50" t="s">
        <v>55</v>
      </c>
      <c r="AE36" s="50" t="s">
        <v>58</v>
      </c>
      <c r="AF36" s="50" t="s">
        <v>105</v>
      </c>
      <c r="AG36" s="50" t="s">
        <v>436</v>
      </c>
      <c r="AH36" s="71">
        <f t="shared" si="0"/>
        <v>280</v>
      </c>
      <c r="AI36" s="72">
        <f t="shared" si="1"/>
        <v>46022</v>
      </c>
      <c r="AJ36" s="73">
        <f t="shared" ca="1" si="3"/>
        <v>38.682191780821917</v>
      </c>
      <c r="AK36" s="17"/>
      <c r="AL36" s="69" t="s">
        <v>61</v>
      </c>
      <c r="AM36" s="67">
        <v>45992</v>
      </c>
      <c r="AN36" s="69" t="s">
        <v>62</v>
      </c>
      <c r="AO36" s="69">
        <v>12</v>
      </c>
      <c r="AP36" s="68" t="s">
        <v>310</v>
      </c>
      <c r="AQ36" s="68"/>
    </row>
    <row r="37" spans="1:46" s="11" customFormat="1" ht="24.75" customHeight="1" x14ac:dyDescent="0.35">
      <c r="A37" s="50">
        <v>2569</v>
      </c>
      <c r="B37" s="51">
        <v>45980.858576388891</v>
      </c>
      <c r="C37" s="51">
        <v>45980.864351851851</v>
      </c>
      <c r="D37" s="50" t="s">
        <v>41</v>
      </c>
      <c r="E37" s="50"/>
      <c r="F37" s="50" t="s">
        <v>437</v>
      </c>
      <c r="G37" s="52">
        <v>35085</v>
      </c>
      <c r="H37" s="17" t="s">
        <v>438</v>
      </c>
      <c r="I37" s="53" t="s">
        <v>45</v>
      </c>
      <c r="J37" s="53" t="s">
        <v>67</v>
      </c>
      <c r="K37" s="53" t="s">
        <v>67</v>
      </c>
      <c r="L37" s="53" t="s">
        <v>67</v>
      </c>
      <c r="M37" s="50" t="s">
        <v>439</v>
      </c>
      <c r="N37" s="50" t="s">
        <v>84</v>
      </c>
      <c r="O37" s="50" t="s">
        <v>48</v>
      </c>
      <c r="P37" s="52">
        <v>45731</v>
      </c>
      <c r="Q37" s="46">
        <v>45801</v>
      </c>
      <c r="R37" s="47">
        <v>10</v>
      </c>
      <c r="S37" s="47" t="s">
        <v>45</v>
      </c>
      <c r="T37" s="17" t="s">
        <v>440</v>
      </c>
      <c r="U37" s="54"/>
      <c r="V37" s="21"/>
      <c r="W37" s="50" t="s">
        <v>334</v>
      </c>
      <c r="X37" s="17" t="s">
        <v>441</v>
      </c>
      <c r="Y37" s="53" t="s">
        <v>442</v>
      </c>
      <c r="Z37" s="50" t="s">
        <v>55</v>
      </c>
      <c r="AA37" s="53" t="s">
        <v>443</v>
      </c>
      <c r="AB37" s="31" t="s">
        <v>444</v>
      </c>
      <c r="AC37" s="50" t="s">
        <v>55</v>
      </c>
      <c r="AD37" s="50" t="s">
        <v>55</v>
      </c>
      <c r="AE37" s="50" t="s">
        <v>288</v>
      </c>
      <c r="AF37" s="50" t="s">
        <v>445</v>
      </c>
      <c r="AG37" s="50" t="s">
        <v>446</v>
      </c>
      <c r="AH37" s="71">
        <f t="shared" si="0"/>
        <v>46011</v>
      </c>
      <c r="AI37" s="72">
        <f t="shared" si="1"/>
        <v>46010</v>
      </c>
      <c r="AJ37" s="85">
        <f t="shared" ca="1" si="3"/>
        <v>29.854794520547944</v>
      </c>
      <c r="AK37" s="17"/>
      <c r="AL37" s="69" t="s">
        <v>192</v>
      </c>
      <c r="AM37" s="67">
        <v>46006</v>
      </c>
      <c r="AN37" s="69" t="s">
        <v>398</v>
      </c>
      <c r="AO37" s="69">
        <v>26</v>
      </c>
      <c r="AP37" s="68" t="s">
        <v>389</v>
      </c>
      <c r="AQ37" s="68"/>
    </row>
    <row r="38" spans="1:46" ht="24.75" customHeight="1" x14ac:dyDescent="0.35">
      <c r="A38" s="50">
        <v>2570</v>
      </c>
      <c r="B38" s="51">
        <v>45982.302337962959</v>
      </c>
      <c r="C38" s="51">
        <v>45982.309062499997</v>
      </c>
      <c r="D38" s="50" t="s">
        <v>41</v>
      </c>
      <c r="E38" s="50"/>
      <c r="F38" s="50" t="s">
        <v>447</v>
      </c>
      <c r="G38" s="52">
        <v>33939</v>
      </c>
      <c r="H38" s="17" t="s">
        <v>448</v>
      </c>
      <c r="I38" s="53" t="s">
        <v>45</v>
      </c>
      <c r="J38" s="53" t="s">
        <v>67</v>
      </c>
      <c r="K38" s="53" t="s">
        <v>67</v>
      </c>
      <c r="L38" s="53" t="s">
        <v>67</v>
      </c>
      <c r="M38" s="50" t="s">
        <v>449</v>
      </c>
      <c r="N38" s="50" t="s">
        <v>143</v>
      </c>
      <c r="O38" s="50" t="s">
        <v>48</v>
      </c>
      <c r="P38" s="52">
        <v>45714</v>
      </c>
      <c r="Q38" s="46">
        <v>45763</v>
      </c>
      <c r="R38" s="47" t="s">
        <v>450</v>
      </c>
      <c r="S38" s="47" t="s">
        <v>66</v>
      </c>
      <c r="T38" s="17" t="s">
        <v>451</v>
      </c>
      <c r="U38" s="54"/>
      <c r="V38" s="70"/>
      <c r="W38" s="50" t="s">
        <v>452</v>
      </c>
      <c r="X38" s="17" t="s">
        <v>201</v>
      </c>
      <c r="Y38" s="53" t="s">
        <v>453</v>
      </c>
      <c r="Z38" s="50" t="s">
        <v>55</v>
      </c>
      <c r="AA38" s="53" t="s">
        <v>454</v>
      </c>
      <c r="AB38" s="31" t="s">
        <v>455</v>
      </c>
      <c r="AC38" s="50" t="s">
        <v>55</v>
      </c>
      <c r="AD38" s="50" t="s">
        <v>55</v>
      </c>
      <c r="AE38" s="50" t="s">
        <v>118</v>
      </c>
      <c r="AF38" s="50" t="s">
        <v>136</v>
      </c>
      <c r="AG38" s="50" t="s">
        <v>456</v>
      </c>
      <c r="AH38" s="76">
        <f t="shared" si="0"/>
        <v>45994</v>
      </c>
      <c r="AI38" s="35" t="e" vm="1">
        <f t="shared" si="1"/>
        <v>#VALUE!</v>
      </c>
      <c r="AJ38" s="86">
        <f t="shared" ca="1" si="3"/>
        <v>32.994520547945207</v>
      </c>
      <c r="AK38" s="17"/>
      <c r="AL38" s="66" t="s">
        <v>192</v>
      </c>
      <c r="AM38" s="87">
        <v>45987</v>
      </c>
      <c r="AN38" s="88" t="s">
        <v>193</v>
      </c>
      <c r="AO38" s="88">
        <v>7</v>
      </c>
      <c r="AP38" s="88" t="s">
        <v>457</v>
      </c>
      <c r="AQ38" s="66"/>
    </row>
    <row r="39" spans="1:46" ht="24.75" customHeight="1" x14ac:dyDescent="0.35">
      <c r="A39" s="50">
        <v>2571</v>
      </c>
      <c r="B39" s="51">
        <v>45982.30704861111</v>
      </c>
      <c r="C39" s="51">
        <v>45982.310520833344</v>
      </c>
      <c r="D39" s="50" t="s">
        <v>41</v>
      </c>
      <c r="E39" s="50"/>
      <c r="F39" s="50" t="s">
        <v>458</v>
      </c>
      <c r="G39" s="52">
        <v>34459</v>
      </c>
      <c r="H39" s="17" t="s">
        <v>459</v>
      </c>
      <c r="I39" s="53" t="s">
        <v>45</v>
      </c>
      <c r="J39" s="53" t="s">
        <v>67</v>
      </c>
      <c r="K39" s="53" t="s">
        <v>67</v>
      </c>
      <c r="L39" s="53" t="s">
        <v>67</v>
      </c>
      <c r="M39" s="50" t="s">
        <v>460</v>
      </c>
      <c r="N39" s="50" t="s">
        <v>84</v>
      </c>
      <c r="O39" s="50" t="s">
        <v>461</v>
      </c>
      <c r="P39" s="52"/>
      <c r="Q39" s="46">
        <v>45793</v>
      </c>
      <c r="R39" s="47" t="s">
        <v>50</v>
      </c>
      <c r="S39" s="47" t="s">
        <v>44</v>
      </c>
      <c r="T39" s="17" t="s">
        <v>462</v>
      </c>
      <c r="U39" s="54"/>
      <c r="V39" s="70"/>
      <c r="W39" s="50" t="s">
        <v>463</v>
      </c>
      <c r="X39" s="17" t="s">
        <v>464</v>
      </c>
      <c r="Y39" s="53" t="s">
        <v>465</v>
      </c>
      <c r="Z39" s="50" t="s">
        <v>55</v>
      </c>
      <c r="AA39" s="53" t="s">
        <v>466</v>
      </c>
      <c r="AB39" s="31" t="s">
        <v>226</v>
      </c>
      <c r="AC39" s="50" t="s">
        <v>55</v>
      </c>
      <c r="AD39" s="50" t="s">
        <v>55</v>
      </c>
      <c r="AE39" s="50" t="s">
        <v>118</v>
      </c>
      <c r="AF39" s="50" t="s">
        <v>467</v>
      </c>
      <c r="AG39" s="50" t="s">
        <v>468</v>
      </c>
      <c r="AH39" s="76">
        <f t="shared" si="0"/>
        <v>280</v>
      </c>
      <c r="AI39" s="77">
        <f t="shared" si="1"/>
        <v>46027</v>
      </c>
      <c r="AJ39" s="86">
        <f t="shared" ca="1" si="3"/>
        <v>31.56986301369863</v>
      </c>
      <c r="AK39" s="17"/>
      <c r="AL39" s="66" t="s">
        <v>61</v>
      </c>
      <c r="AM39" s="87">
        <v>46017</v>
      </c>
      <c r="AN39" s="88" t="s">
        <v>62</v>
      </c>
      <c r="AO39" s="88">
        <v>37</v>
      </c>
      <c r="AP39" s="88" t="s">
        <v>469</v>
      </c>
      <c r="AQ39" s="66"/>
    </row>
    <row r="40" spans="1:46" ht="24.75" customHeight="1" x14ac:dyDescent="0.35">
      <c r="A40" s="50">
        <v>2572</v>
      </c>
      <c r="B40" s="51">
        <v>45982.327164351853</v>
      </c>
      <c r="C40" s="51">
        <v>45982.330833333333</v>
      </c>
      <c r="D40" s="50" t="s">
        <v>41</v>
      </c>
      <c r="E40" s="50"/>
      <c r="F40" s="50" t="s">
        <v>470</v>
      </c>
      <c r="G40" s="52">
        <v>30681</v>
      </c>
      <c r="H40" s="17" t="s">
        <v>471</v>
      </c>
      <c r="I40" s="53" t="s">
        <v>111</v>
      </c>
      <c r="J40" s="53" t="s">
        <v>67</v>
      </c>
      <c r="K40" s="53" t="s">
        <v>472</v>
      </c>
      <c r="L40" s="53" t="s">
        <v>67</v>
      </c>
      <c r="M40" s="50" t="s">
        <v>473</v>
      </c>
      <c r="N40" s="50" t="s">
        <v>143</v>
      </c>
      <c r="O40" s="50" t="s">
        <v>48</v>
      </c>
      <c r="P40" s="52">
        <v>45721</v>
      </c>
      <c r="Q40" s="46">
        <v>45783</v>
      </c>
      <c r="R40" s="47" t="s">
        <v>49</v>
      </c>
      <c r="S40" s="47" t="s">
        <v>45</v>
      </c>
      <c r="T40" s="17" t="s">
        <v>474</v>
      </c>
      <c r="U40" s="54"/>
      <c r="V40" s="70"/>
      <c r="W40" s="50" t="s">
        <v>475</v>
      </c>
      <c r="X40" s="17" t="s">
        <v>476</v>
      </c>
      <c r="Y40" s="53" t="s">
        <v>477</v>
      </c>
      <c r="Z40" s="50" t="s">
        <v>55</v>
      </c>
      <c r="AA40" s="53" t="s">
        <v>478</v>
      </c>
      <c r="AB40" s="31" t="s">
        <v>478</v>
      </c>
      <c r="AC40" s="50" t="s">
        <v>55</v>
      </c>
      <c r="AD40" s="50" t="s">
        <v>55</v>
      </c>
      <c r="AE40" s="50" t="s">
        <v>118</v>
      </c>
      <c r="AF40" s="50" t="s">
        <v>467</v>
      </c>
      <c r="AG40" s="50" t="s">
        <v>479</v>
      </c>
      <c r="AH40" s="76">
        <f t="shared" si="0"/>
        <v>46001</v>
      </c>
      <c r="AI40" s="77">
        <f t="shared" si="1"/>
        <v>45999</v>
      </c>
      <c r="AJ40" s="86">
        <f t="shared" ca="1" si="3"/>
        <v>41.920547945205477</v>
      </c>
      <c r="AK40" s="17"/>
      <c r="AL40" s="66" t="s">
        <v>192</v>
      </c>
      <c r="AM40" s="87">
        <v>45994</v>
      </c>
      <c r="AN40" s="88" t="s">
        <v>193</v>
      </c>
      <c r="AO40" s="88">
        <v>14</v>
      </c>
      <c r="AP40" s="88" t="s">
        <v>480</v>
      </c>
      <c r="AQ40" s="66"/>
    </row>
    <row r="41" spans="1:46" ht="24.75" customHeight="1" x14ac:dyDescent="0.35">
      <c r="A41" s="50">
        <v>2573</v>
      </c>
      <c r="B41" s="51">
        <v>45982.356724537043</v>
      </c>
      <c r="C41" s="51">
        <v>45982.359756944446</v>
      </c>
      <c r="D41" s="50" t="s">
        <v>41</v>
      </c>
      <c r="E41" s="50"/>
      <c r="F41" s="50" t="s">
        <v>481</v>
      </c>
      <c r="G41" s="52">
        <v>45761</v>
      </c>
      <c r="H41" s="17" t="s">
        <v>482</v>
      </c>
      <c r="I41" s="53" t="s">
        <v>45</v>
      </c>
      <c r="J41" s="53" t="s">
        <v>67</v>
      </c>
      <c r="K41" s="53" t="s">
        <v>67</v>
      </c>
      <c r="L41" s="53" t="s">
        <v>67</v>
      </c>
      <c r="M41" s="50" t="s">
        <v>483</v>
      </c>
      <c r="N41" s="50" t="s">
        <v>84</v>
      </c>
      <c r="O41" s="50" t="s">
        <v>48</v>
      </c>
      <c r="P41" s="52">
        <v>45729</v>
      </c>
      <c r="Q41" s="46">
        <v>45786</v>
      </c>
      <c r="R41" s="47" t="s">
        <v>85</v>
      </c>
      <c r="S41" s="47" t="s">
        <v>50</v>
      </c>
      <c r="T41" s="17" t="s">
        <v>484</v>
      </c>
      <c r="U41" s="54"/>
      <c r="V41" s="70"/>
      <c r="W41" s="50" t="s">
        <v>485</v>
      </c>
      <c r="X41" s="17" t="s">
        <v>486</v>
      </c>
      <c r="Y41" s="53" t="s">
        <v>487</v>
      </c>
      <c r="Z41" s="50" t="s">
        <v>55</v>
      </c>
      <c r="AA41" s="53" t="s">
        <v>488</v>
      </c>
      <c r="AB41" s="31" t="s">
        <v>489</v>
      </c>
      <c r="AC41" s="50" t="s">
        <v>55</v>
      </c>
      <c r="AD41" s="50" t="s">
        <v>55</v>
      </c>
      <c r="AE41" s="50" t="s">
        <v>118</v>
      </c>
      <c r="AF41" s="50" t="s">
        <v>467</v>
      </c>
      <c r="AG41" s="50" t="s">
        <v>490</v>
      </c>
      <c r="AH41" s="76">
        <f t="shared" si="0"/>
        <v>46009</v>
      </c>
      <c r="AI41" s="77">
        <f t="shared" si="1"/>
        <v>46004</v>
      </c>
      <c r="AJ41" s="86">
        <f t="shared" ca="1" si="3"/>
        <v>0.60547945205479448</v>
      </c>
      <c r="AK41" s="17"/>
      <c r="AL41" s="66" t="s">
        <v>192</v>
      </c>
      <c r="AM41" s="87">
        <v>46002</v>
      </c>
      <c r="AN41" s="88" t="s">
        <v>193</v>
      </c>
      <c r="AO41" s="88">
        <v>22</v>
      </c>
      <c r="AP41" s="88" t="s">
        <v>491</v>
      </c>
      <c r="AQ41" s="66"/>
    </row>
    <row r="42" spans="1:46" ht="24.75" customHeight="1" x14ac:dyDescent="0.35">
      <c r="A42" s="50">
        <v>2574</v>
      </c>
      <c r="B42" s="51">
        <v>45982.427164351851</v>
      </c>
      <c r="C42" s="51">
        <v>45982.430069444446</v>
      </c>
      <c r="D42" s="50" t="s">
        <v>41</v>
      </c>
      <c r="E42" s="50"/>
      <c r="F42" s="50" t="s">
        <v>492</v>
      </c>
      <c r="G42" s="52">
        <v>35857</v>
      </c>
      <c r="H42" s="17" t="s">
        <v>493</v>
      </c>
      <c r="I42" s="53" t="s">
        <v>45</v>
      </c>
      <c r="J42" s="53" t="s">
        <v>67</v>
      </c>
      <c r="K42" s="53" t="s">
        <v>67</v>
      </c>
      <c r="L42" s="53" t="s">
        <v>67</v>
      </c>
      <c r="M42" s="50" t="s">
        <v>494</v>
      </c>
      <c r="N42" s="50" t="s">
        <v>143</v>
      </c>
      <c r="O42" s="50" t="s">
        <v>461</v>
      </c>
      <c r="P42" s="52"/>
      <c r="Q42" s="46">
        <v>45809</v>
      </c>
      <c r="R42" s="47" t="s">
        <v>49</v>
      </c>
      <c r="S42" s="47" t="s">
        <v>45</v>
      </c>
      <c r="T42" s="17" t="s">
        <v>495</v>
      </c>
      <c r="U42" s="54"/>
      <c r="V42" s="70"/>
      <c r="W42" s="50" t="s">
        <v>496</v>
      </c>
      <c r="X42" s="31" t="s">
        <v>226</v>
      </c>
      <c r="Y42" s="53" t="s">
        <v>496</v>
      </c>
      <c r="Z42" s="50" t="s">
        <v>55</v>
      </c>
      <c r="AA42" s="53" t="s">
        <v>496</v>
      </c>
      <c r="AB42" s="31" t="s">
        <v>496</v>
      </c>
      <c r="AC42" s="50" t="s">
        <v>55</v>
      </c>
      <c r="AD42" s="50" t="s">
        <v>55</v>
      </c>
      <c r="AE42" s="50" t="s">
        <v>118</v>
      </c>
      <c r="AF42" s="50" t="s">
        <v>467</v>
      </c>
      <c r="AG42" s="50" t="s">
        <v>497</v>
      </c>
      <c r="AH42" s="76">
        <f t="shared" si="0"/>
        <v>280</v>
      </c>
      <c r="AI42" s="77">
        <f t="shared" si="1"/>
        <v>46025</v>
      </c>
      <c r="AJ42" s="86">
        <f t="shared" ca="1" si="3"/>
        <v>27.739726027397261</v>
      </c>
      <c r="AK42" s="17"/>
      <c r="AL42" s="66" t="s">
        <v>61</v>
      </c>
      <c r="AM42" s="87">
        <v>46012</v>
      </c>
      <c r="AN42" s="88" t="s">
        <v>62</v>
      </c>
      <c r="AO42" s="88">
        <v>32</v>
      </c>
      <c r="AP42" s="88" t="s">
        <v>498</v>
      </c>
      <c r="AQ42" s="66"/>
    </row>
    <row r="43" spans="1:46" ht="24.75" customHeight="1" x14ac:dyDescent="0.35">
      <c r="A43" s="50">
        <v>2575</v>
      </c>
      <c r="B43" s="51">
        <v>45982.447187500002</v>
      </c>
      <c r="C43" s="51">
        <v>45982.44971064815</v>
      </c>
      <c r="D43" s="50" t="s">
        <v>41</v>
      </c>
      <c r="E43" s="50"/>
      <c r="F43" s="50" t="s">
        <v>499</v>
      </c>
      <c r="G43" s="52">
        <v>32039</v>
      </c>
      <c r="H43" s="17" t="s">
        <v>500</v>
      </c>
      <c r="I43" s="53" t="s">
        <v>44</v>
      </c>
      <c r="J43" s="53" t="s">
        <v>67</v>
      </c>
      <c r="K43" s="53" t="s">
        <v>67</v>
      </c>
      <c r="L43" s="53" t="s">
        <v>66</v>
      </c>
      <c r="M43" s="50" t="s">
        <v>501</v>
      </c>
      <c r="N43" s="50" t="s">
        <v>143</v>
      </c>
      <c r="O43" s="50" t="s">
        <v>48</v>
      </c>
      <c r="P43" s="52">
        <v>45744</v>
      </c>
      <c r="Q43" s="46">
        <v>45824</v>
      </c>
      <c r="R43" s="47" t="s">
        <v>502</v>
      </c>
      <c r="S43" s="47" t="s">
        <v>129</v>
      </c>
      <c r="T43" s="17" t="s">
        <v>503</v>
      </c>
      <c r="U43" s="54"/>
      <c r="V43" s="70"/>
      <c r="W43" s="50" t="s">
        <v>504</v>
      </c>
      <c r="X43" s="17" t="s">
        <v>505</v>
      </c>
      <c r="Y43" s="53" t="s">
        <v>506</v>
      </c>
      <c r="Z43" s="50" t="s">
        <v>55</v>
      </c>
      <c r="AA43" s="53" t="s">
        <v>504</v>
      </c>
      <c r="AB43" s="31" t="s">
        <v>507</v>
      </c>
      <c r="AC43" s="50" t="s">
        <v>55</v>
      </c>
      <c r="AD43" s="50" t="s">
        <v>55</v>
      </c>
      <c r="AE43" s="50" t="s">
        <v>118</v>
      </c>
      <c r="AF43" s="50" t="s">
        <v>467</v>
      </c>
      <c r="AG43" s="50" t="s">
        <v>508</v>
      </c>
      <c r="AH43" s="71">
        <f t="shared" si="0"/>
        <v>46024</v>
      </c>
      <c r="AI43" s="72">
        <f t="shared" si="1"/>
        <v>46022</v>
      </c>
      <c r="AJ43" s="85">
        <f t="shared" ca="1" si="3"/>
        <v>38.200000000000003</v>
      </c>
      <c r="AK43" s="17"/>
      <c r="AL43" s="66" t="s">
        <v>192</v>
      </c>
      <c r="AM43" s="87">
        <v>46017</v>
      </c>
      <c r="AN43" s="88" t="s">
        <v>193</v>
      </c>
      <c r="AO43" s="88">
        <v>37</v>
      </c>
      <c r="AP43" s="88" t="s">
        <v>509</v>
      </c>
      <c r="AQ43" s="66"/>
    </row>
    <row r="44" spans="1:46" ht="24.75" customHeight="1" x14ac:dyDescent="0.35">
      <c r="AH44" s="32"/>
      <c r="AI44" s="33"/>
    </row>
    <row r="45" spans="1:46" ht="24.75" customHeight="1" x14ac:dyDescent="0.35">
      <c r="AH45" s="32"/>
      <c r="AI45" s="33"/>
    </row>
    <row r="46" spans="1:46" ht="24.75" customHeight="1" x14ac:dyDescent="0.35">
      <c r="AH46" s="32"/>
      <c r="AI46" s="33"/>
    </row>
    <row r="47" spans="1:46" ht="24.75" customHeight="1" x14ac:dyDescent="0.35">
      <c r="AH47" s="32"/>
      <c r="AI47" s="33"/>
    </row>
    <row r="48" spans="1:46" ht="24.75" customHeight="1" x14ac:dyDescent="0.35">
      <c r="AH48" s="29"/>
      <c r="AI48" s="30"/>
    </row>
    <row r="49" spans="34:35" ht="24.75" customHeight="1" x14ac:dyDescent="0.35">
      <c r="AH49" s="29"/>
      <c r="AI49" s="30"/>
    </row>
    <row r="50" spans="34:35" ht="24.75" customHeight="1" x14ac:dyDescent="0.35">
      <c r="AH50" s="29"/>
      <c r="AI50" s="30"/>
    </row>
    <row r="51" spans="34:35" ht="24.75" customHeight="1" x14ac:dyDescent="0.35">
      <c r="AH51" s="29"/>
      <c r="AI51" s="30"/>
    </row>
    <row r="52" spans="34:35" ht="24.75" customHeight="1" x14ac:dyDescent="0.35">
      <c r="AH52" s="29"/>
      <c r="AI52" s="30"/>
    </row>
    <row r="53" spans="34:35" ht="24.75" customHeight="1" x14ac:dyDescent="0.35">
      <c r="AH53" s="29"/>
      <c r="AI53" s="30"/>
    </row>
    <row r="54" spans="34:35" ht="24.75" customHeight="1" x14ac:dyDescent="0.35">
      <c r="AH54" s="29"/>
      <c r="AI54" s="30"/>
    </row>
    <row r="55" spans="34:35" ht="24.75" customHeight="1" x14ac:dyDescent="0.35">
      <c r="AH55" s="29"/>
      <c r="AI55" s="30"/>
    </row>
    <row r="56" spans="34:35" ht="24.75" customHeight="1" x14ac:dyDescent="0.35">
      <c r="AH56" s="29"/>
      <c r="AI56" s="30"/>
    </row>
    <row r="57" spans="34:35" ht="24.75" customHeight="1" x14ac:dyDescent="0.35">
      <c r="AH57" s="29"/>
      <c r="AI57" s="30"/>
    </row>
    <row r="58" spans="34:35" ht="24.75" customHeight="1" x14ac:dyDescent="0.35">
      <c r="AH58" s="29"/>
      <c r="AI58" s="30"/>
    </row>
    <row r="59" spans="34:35" ht="24.75" customHeight="1" x14ac:dyDescent="0.35">
      <c r="AH59" s="29"/>
      <c r="AI59" s="30"/>
    </row>
    <row r="60" spans="34:35" ht="24.75" customHeight="1" x14ac:dyDescent="0.35">
      <c r="AH60" s="29"/>
      <c r="AI60" s="30"/>
    </row>
    <row r="61" spans="34:35" ht="24.75" customHeight="1" x14ac:dyDescent="0.35">
      <c r="AH61" s="29"/>
      <c r="AI61" s="30"/>
    </row>
    <row r="62" spans="34:35" ht="24.75" customHeight="1" x14ac:dyDescent="0.35">
      <c r="AH62" s="29"/>
      <c r="AI62" s="30"/>
    </row>
    <row r="63" spans="34:35" ht="24.75" customHeight="1" x14ac:dyDescent="0.35">
      <c r="AH63" s="29"/>
      <c r="AI63" s="30"/>
    </row>
    <row r="64" spans="34:35" ht="24.75" customHeight="1" x14ac:dyDescent="0.35">
      <c r="AH64" s="29"/>
      <c r="AI64" s="30"/>
    </row>
    <row r="65" spans="34:35" ht="24.75" customHeight="1" x14ac:dyDescent="0.35">
      <c r="AH65" s="29"/>
      <c r="AI65" s="30"/>
    </row>
    <row r="66" spans="34:35" ht="24.75" customHeight="1" x14ac:dyDescent="0.35">
      <c r="AH66" s="29"/>
      <c r="AI66" s="30"/>
    </row>
    <row r="67" spans="34:35" ht="24.75" customHeight="1" x14ac:dyDescent="0.35">
      <c r="AH67" s="29"/>
      <c r="AI67" s="30"/>
    </row>
    <row r="68" spans="34:35" ht="24.75" customHeight="1" x14ac:dyDescent="0.35">
      <c r="AH68" s="29"/>
      <c r="AI68" s="30"/>
    </row>
    <row r="69" spans="34:35" ht="24.75" customHeight="1" x14ac:dyDescent="0.35">
      <c r="AH69" s="29"/>
      <c r="AI69" s="30"/>
    </row>
    <row r="70" spans="34:35" ht="24.75" customHeight="1" x14ac:dyDescent="0.35">
      <c r="AH70" s="29"/>
      <c r="AI70" s="30"/>
    </row>
    <row r="71" spans="34:35" ht="24.75" customHeight="1" x14ac:dyDescent="0.35">
      <c r="AH71" s="29"/>
      <c r="AI71" s="30"/>
    </row>
    <row r="72" spans="34:35" ht="24.75" customHeight="1" x14ac:dyDescent="0.35">
      <c r="AH72" s="29"/>
      <c r="AI72" s="30"/>
    </row>
    <row r="73" spans="34:35" ht="24.75" customHeight="1" x14ac:dyDescent="0.35">
      <c r="AH73" s="29"/>
      <c r="AI73" s="30"/>
    </row>
    <row r="74" spans="34:35" ht="24.75" customHeight="1" x14ac:dyDescent="0.35">
      <c r="AH74" s="29"/>
      <c r="AI74" s="30"/>
    </row>
    <row r="75" spans="34:35" ht="24.75" customHeight="1" x14ac:dyDescent="0.35">
      <c r="AH75" s="29"/>
      <c r="AI75" s="30"/>
    </row>
    <row r="76" spans="34:35" ht="24.75" customHeight="1" x14ac:dyDescent="0.35">
      <c r="AH76" s="29"/>
      <c r="AI76" s="30"/>
    </row>
    <row r="77" spans="34:35" ht="24.75" customHeight="1" x14ac:dyDescent="0.35">
      <c r="AH77" s="29"/>
      <c r="AI77" s="30"/>
    </row>
    <row r="78" spans="34:35" ht="24.75" customHeight="1" x14ac:dyDescent="0.35">
      <c r="AH78" s="29"/>
      <c r="AI78" s="30"/>
    </row>
    <row r="79" spans="34:35" ht="24.75" customHeight="1" x14ac:dyDescent="0.35">
      <c r="AH79" s="29"/>
      <c r="AI79" s="30"/>
    </row>
    <row r="80" spans="34:35" ht="24.75" customHeight="1" x14ac:dyDescent="0.35">
      <c r="AH80" s="29"/>
      <c r="AI80" s="30"/>
    </row>
    <row r="81" spans="34:35" ht="24.75" customHeight="1" x14ac:dyDescent="0.35">
      <c r="AH81" s="29"/>
      <c r="AI81" s="30"/>
    </row>
    <row r="82" spans="34:35" ht="24.75" customHeight="1" x14ac:dyDescent="0.35">
      <c r="AH82" s="29"/>
      <c r="AI82" s="30"/>
    </row>
    <row r="83" spans="34:35" ht="24.75" customHeight="1" x14ac:dyDescent="0.35">
      <c r="AH83" s="29"/>
      <c r="AI83" s="30"/>
    </row>
    <row r="84" spans="34:35" ht="24.75" customHeight="1" x14ac:dyDescent="0.35">
      <c r="AH84" s="29"/>
      <c r="AI84" s="30"/>
    </row>
    <row r="85" spans="34:35" ht="24.75" customHeight="1" x14ac:dyDescent="0.35">
      <c r="AH85" s="29"/>
      <c r="AI85" s="30"/>
    </row>
    <row r="86" spans="34:35" ht="24.75" customHeight="1" x14ac:dyDescent="0.35">
      <c r="AH86" s="29"/>
      <c r="AI86" s="30"/>
    </row>
    <row r="87" spans="34:35" ht="24.75" customHeight="1" x14ac:dyDescent="0.35">
      <c r="AH87" s="29"/>
      <c r="AI87" s="30"/>
    </row>
    <row r="88" spans="34:35" ht="24.75" customHeight="1" x14ac:dyDescent="0.35">
      <c r="AH88" s="29"/>
      <c r="AI88" s="30"/>
    </row>
    <row r="89" spans="34:35" ht="24.75" customHeight="1" x14ac:dyDescent="0.35">
      <c r="AH89" s="29"/>
      <c r="AI89" s="30"/>
    </row>
    <row r="90" spans="34:35" ht="24.75" customHeight="1" x14ac:dyDescent="0.35">
      <c r="AH90" s="29"/>
      <c r="AI90" s="30"/>
    </row>
    <row r="91" spans="34:35" ht="24.75" customHeight="1" x14ac:dyDescent="0.35">
      <c r="AH91" s="29"/>
      <c r="AI91" s="30"/>
    </row>
  </sheetData>
  <conditionalFormatting sqref="F1:F1048576 H1:H1048576">
    <cfRule type="duplicateValues" dxfId="1" priority="627"/>
  </conditionalFormatting>
  <conditionalFormatting sqref="AJ1:AJ1048576">
    <cfRule type="cellIs" dxfId="0" priority="1" operator="greaterThan">
      <formula>39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Jose de Oliveira Gomes</cp:lastModifiedBy>
  <dcterms:created xsi:type="dcterms:W3CDTF">2025-02-10T17:58:25Z</dcterms:created>
  <dcterms:modified xsi:type="dcterms:W3CDTF">2025-11-21T23:45:58Z</dcterms:modified>
</cp:coreProperties>
</file>